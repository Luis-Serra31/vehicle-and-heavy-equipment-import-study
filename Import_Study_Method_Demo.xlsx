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Parameters" sheetId="2" state="visible" r:id="rId4"/>
    <sheet name="Name_Map" sheetId="3" state="visible" r:id="rId5"/>
    <sheet name="Summary" sheetId="4" state="visible" r:id="rId6"/>
    <sheet name="Raw_Data" sheetId="5" state="visible" r:id="rId7"/>
    <sheet name="Ranking_Vehicles" sheetId="6" state="visible" r:id="rId8"/>
    <sheet name="Ranking_HH" sheetId="7" state="visible" r:id="rId9"/>
  </sheets>
  <definedNames>
    <definedName function="false" hidden="true" localSheetId="4" name="_xlnm._FilterDatabase" vbProcedure="false">Raw_Data!$A$1:$P$307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CHECK = every line of this declaration + HS heading has the same gross weight, i.e. the declaration total was repeated on each line. Corrected unit weight then uses total weight ÷ total quantity. Review manually.</t>
        </r>
      </text>
    </comment>
  </commentList>
</comments>
</file>

<file path=xl/sharedStrings.xml><?xml version="1.0" encoding="utf-8"?>
<sst xmlns="http://schemas.openxmlformats.org/spreadsheetml/2006/main" count="1603" uniqueCount="423">
  <si>
    <t xml:space="preserve">Vehicle &amp; Heavy Equipment Import Study — Method Demo</t>
  </si>
  <si>
    <t xml:space="preserve">Illustrative workbook. ALL DATA IS FICTIONAL: importer names, declarations and volumes were generated to demonstrate the method.</t>
  </si>
  <si>
    <t xml:space="preserve">What this workbook shows</t>
  </si>
  <si>
    <t xml:space="preserve">How raw customs import declarations are turned into a market-sizing and importer ranking for a RoRo / PCTC carrier, US East Coast origin only.</t>
  </si>
  <si>
    <t xml:space="preserve">Sheets</t>
  </si>
  <si>
    <t xml:space="preserve">Parameters — weight cut-off (15,000 kg/unit), HS headings per segment, list of US East Coast ports.</t>
  </si>
  <si>
    <t xml:space="preserve">Raw_Data — fictional declaration lines (navy headers) + calculated helper columns (teal headers).</t>
  </si>
  <si>
    <t xml:space="preserve">Name_Map — unifies spelling variants of the same importer before ranking.</t>
  </si>
  <si>
    <t xml:space="preserve">Ranking_Vehicles / Ranking_HH — Top 10 importers per segment; pick a country in the yellow cell.</t>
  </si>
  <si>
    <t xml:space="preserve">Summary — units by country and segment, US East Coast vs all origins, with chart.</t>
  </si>
  <si>
    <t xml:space="preserve">Method, step by step</t>
  </si>
  <si>
    <t xml:space="preserve">1. Normalize importer names (Name_Map) so 'ANDES MOTOR GROUP SA' and 'Andes Motor Group S.A.' count as one company.</t>
  </si>
  <si>
    <t xml:space="preserve">2. Unit weight = gross weight ÷ quantity, from the declaration line (not the weight implied by the HS subheading).</t>
  </si>
  <si>
    <t xml:space="preserve">3. Data-quality check: when every line of the same declaration + HS heading carries the same gross weight, the total weight was repeated on each line. Flag = CHECK, and the corrected unit weight uses total weight ÷ total quantity. Flagged rows should be reviewed manually.</t>
  </si>
  <si>
    <t xml:space="preserve">4. Segment: HS 8703/8704 ≤ 15 t/unit → Vehicles; H&amp;H headings &gt; 15 t/unit → H&amp;H; anything else → Out of scope.</t>
  </si>
  <si>
    <t xml:space="preserve">5. Origin: port of loading checked against the US East Coast port list.</t>
  </si>
  <si>
    <t xml:space="preserve">6. Rankings and shares via helper columns + SUMIFS (robust in Excel; avoids SUMPRODUCT with row-by-row division).</t>
  </si>
  <si>
    <t xml:space="preserve">Legend</t>
  </si>
  <si>
    <t xml:space="preserve">Navy header = source data   |   Teal header = calculated column (formula)   |   Yellow cell = selector you can change   |   Blue text = editable parameter</t>
  </si>
  <si>
    <t xml:space="preserve">Parameters</t>
  </si>
  <si>
    <t xml:space="preserve">Weight cut-off (kg per unit)</t>
  </si>
  <si>
    <t xml:space="preserve">Vehicles ≤ cut-off; H&amp;H &gt; cut-off</t>
  </si>
  <si>
    <t xml:space="preserve">Vehicle HS headings</t>
  </si>
  <si>
    <t xml:space="preserve">H&amp;H HS headings</t>
  </si>
  <si>
    <t xml:space="preserve">US East Coast ports</t>
  </si>
  <si>
    <t xml:space="preserve">HS heading</t>
  </si>
  <si>
    <t xml:space="preserve">Description</t>
  </si>
  <si>
    <t xml:space="preserve">Baltimore</t>
  </si>
  <si>
    <t xml:space="preserve">Passenger cars</t>
  </si>
  <si>
    <t xml:space="preserve">Brunswick</t>
  </si>
  <si>
    <t xml:space="preserve">Goods vehicles (trucks)</t>
  </si>
  <si>
    <t xml:space="preserve">Jacksonville</t>
  </si>
  <si>
    <t xml:space="preserve">Tractors</t>
  </si>
  <si>
    <t xml:space="preserve">Charleston</t>
  </si>
  <si>
    <t xml:space="preserve">Buses</t>
  </si>
  <si>
    <t xml:space="preserve">Savannah</t>
  </si>
  <si>
    <t xml:space="preserve">Special-purpose vehicles</t>
  </si>
  <si>
    <t xml:space="preserve">Davisville</t>
  </si>
  <si>
    <t xml:space="preserve">Cranes</t>
  </si>
  <si>
    <t xml:space="preserve">Newark</t>
  </si>
  <si>
    <t xml:space="preserve">Forklift trucks</t>
  </si>
  <si>
    <t xml:space="preserve">Philadelphia</t>
  </si>
  <si>
    <t xml:space="preserve">Bulldozers / excavators / loaders</t>
  </si>
  <si>
    <t xml:space="preserve">Other earthmoving / drilling machinery</t>
  </si>
  <si>
    <t xml:space="preserve">Harvesting machinery</t>
  </si>
  <si>
    <t xml:space="preserve">Importer name as declared</t>
  </si>
  <si>
    <t xml:space="preserve">Normalized importer</t>
  </si>
  <si>
    <t xml:space="preserve">ALTIPLANO TRUCKS SAC</t>
  </si>
  <si>
    <t xml:space="preserve">Altiplano Trucks S.A.C.</t>
  </si>
  <si>
    <t xml:space="preserve">ANDES MOTOR GROUP SA</t>
  </si>
  <si>
    <t xml:space="preserve">Andes Motor Group S.A.</t>
  </si>
  <si>
    <t xml:space="preserve">ANTILLAS CARGO LOGISTICS SRL</t>
  </si>
  <si>
    <t xml:space="preserve">Antillas Cargo Logistics S.R.L.</t>
  </si>
  <si>
    <t xml:space="preserve">ATACAMA EQUIPOS MINEROS SA</t>
  </si>
  <si>
    <t xml:space="preserve">Atacama Equipos Mineros S.A.</t>
  </si>
  <si>
    <t xml:space="preserve">AUSTRAL TRUCK CENTER SPA</t>
  </si>
  <si>
    <t xml:space="preserve">Austral Truck Center SpA</t>
  </si>
  <si>
    <t xml:space="preserve">AUTONORTE DISTRIBUCIONES SAS</t>
  </si>
  <si>
    <t xml:space="preserve">Autonorte Distribuciones S.A.S.</t>
  </si>
  <si>
    <t xml:space="preserve">Altiplano  Trucks S.A.C.</t>
  </si>
  <si>
    <t xml:space="preserve">Altiplano Trucks SAC</t>
  </si>
  <si>
    <t xml:space="preserve">Andes  Motor Group S.A.</t>
  </si>
  <si>
    <t xml:space="preserve">Andes Motor Group SA</t>
  </si>
  <si>
    <t xml:space="preserve">Antillas  Cargo Logistics S.R.L.</t>
  </si>
  <si>
    <t xml:space="preserve">Antillas Cargo Logistics SRL</t>
  </si>
  <si>
    <t xml:space="preserve">Atacama Equipos Mineros SA</t>
  </si>
  <si>
    <t xml:space="preserve">Austral  Truck Center SpA</t>
  </si>
  <si>
    <t xml:space="preserve">Autonorte  Distribuciones S.A.S.</t>
  </si>
  <si>
    <t xml:space="preserve">Autonorte Distribuciones SAS</t>
  </si>
  <si>
    <t xml:space="preserve">BOGOTA CAR IMPORT SAS</t>
  </si>
  <si>
    <t xml:space="preserve">Bogota Car Import S.A.S.</t>
  </si>
  <si>
    <t xml:space="preserve">Bogota  Car Import S.A.S.</t>
  </si>
  <si>
    <t xml:space="preserve">Bogota Car Import SAS</t>
  </si>
  <si>
    <t xml:space="preserve">CANAL AUTOS SA</t>
  </si>
  <si>
    <t xml:space="preserve">Canal Autos S.A.</t>
  </si>
  <si>
    <t xml:space="preserve">CARIBE MOTORES SAS</t>
  </si>
  <si>
    <t xml:space="preserve">Caribe Motores S.A.S.</t>
  </si>
  <si>
    <t xml:space="preserve">CIBAO EQUIPOS SRL</t>
  </si>
  <si>
    <t xml:space="preserve">Cibao Equipos S.R.L.</t>
  </si>
  <si>
    <t xml:space="preserve">COLON FREE ZONE TRADERS SA</t>
  </si>
  <si>
    <t xml:space="preserve">Colon Free Zone Traders S.A.</t>
  </si>
  <si>
    <t xml:space="preserve">CORDILLERA MAQUINARIAS SPA</t>
  </si>
  <si>
    <t xml:space="preserve">Cordillera Maquinarias SpA</t>
  </si>
  <si>
    <t xml:space="preserve">COSTA VERDE MAQUINARIAS SA</t>
  </si>
  <si>
    <t xml:space="preserve">Costa Verde Maquinarias S.A.</t>
  </si>
  <si>
    <t xml:space="preserve">Canal  Autos S.A.</t>
  </si>
  <si>
    <t xml:space="preserve">Canal Autos SA</t>
  </si>
  <si>
    <t xml:space="preserve">Caribbean Freight Express S.R.L.</t>
  </si>
  <si>
    <t xml:space="preserve">Caribbean Freight Express SRL</t>
  </si>
  <si>
    <t xml:space="preserve">Caribe Motores SAS</t>
  </si>
  <si>
    <t xml:space="preserve">Chiriqui Agro Machinery S.A.</t>
  </si>
  <si>
    <t xml:space="preserve">Chiriqui Agro Machinery SA</t>
  </si>
  <si>
    <t xml:space="preserve">Cibao  Equipos S.R.L.</t>
  </si>
  <si>
    <t xml:space="preserve">Cibao Equipos SRL</t>
  </si>
  <si>
    <t xml:space="preserve">Colon Free Zone Traders SA</t>
  </si>
  <si>
    <t xml:space="preserve">Cordillera  Maquinarias SpA</t>
  </si>
  <si>
    <t xml:space="preserve">Costa Verde Maquinarias SA</t>
  </si>
  <si>
    <t xml:space="preserve">Darien Construcciones S.A.</t>
  </si>
  <si>
    <t xml:space="preserve">ECUAMOTORS CIA LTDA</t>
  </si>
  <si>
    <t xml:space="preserve">Ecuamotors Cia. Ltda.</t>
  </si>
  <si>
    <t xml:space="preserve">EQUINOCCIO MAQUINARIA SA</t>
  </si>
  <si>
    <t xml:space="preserve">Equinoccio Maquinaria S.A.</t>
  </si>
  <si>
    <t xml:space="preserve">Ecuamotors  Cia. Ltda.</t>
  </si>
  <si>
    <t xml:space="preserve">Ecuamotors Cia Ltda</t>
  </si>
  <si>
    <t xml:space="preserve">Equinoccio  Maquinaria S.A.</t>
  </si>
  <si>
    <t xml:space="preserve">Equinoccio Maquinaria SA</t>
  </si>
  <si>
    <t xml:space="preserve">GUAYAS AUTOS SA</t>
  </si>
  <si>
    <t xml:space="preserve">Guayas Autos S.A.</t>
  </si>
  <si>
    <t xml:space="preserve">Guayas  Autos S.A.</t>
  </si>
  <si>
    <t xml:space="preserve">Guayas Autos SA</t>
  </si>
  <si>
    <t xml:space="preserve">INCA AUTOMOTRIZ SAC</t>
  </si>
  <si>
    <t xml:space="preserve">Inca Automotriz S.A.C.</t>
  </si>
  <si>
    <t xml:space="preserve">ISTMO MOTORS SA</t>
  </si>
  <si>
    <t xml:space="preserve">Istmo Motors S.A.</t>
  </si>
  <si>
    <t xml:space="preserve">Inca  Automotriz S.A.C.</t>
  </si>
  <si>
    <t xml:space="preserve">Inca Automotriz SAC</t>
  </si>
  <si>
    <t xml:space="preserve">Istmo  Motors S.A.</t>
  </si>
  <si>
    <t xml:space="preserve">Istmo Motors SA</t>
  </si>
  <si>
    <t xml:space="preserve">LIMA CAR IMPORT SAC</t>
  </si>
  <si>
    <t xml:space="preserve">Lima Car Import S.A.C.</t>
  </si>
  <si>
    <t xml:space="preserve">LLANOS AGRO EQUIPOS SAS</t>
  </si>
  <si>
    <t xml:space="preserve">Llanos Agro Equipos S.A.S.</t>
  </si>
  <si>
    <t xml:space="preserve">Lima  Car Import S.A.C.</t>
  </si>
  <si>
    <t xml:space="preserve">Lima Car Import SAC</t>
  </si>
  <si>
    <t xml:space="preserve">Llanos  Agro Equipos S.A.S.</t>
  </si>
  <si>
    <t xml:space="preserve">Llanos Agro Equipos SAS</t>
  </si>
  <si>
    <t xml:space="preserve">Maquinaria Andina S.A.S.</t>
  </si>
  <si>
    <t xml:space="preserve">Maquinaria Andina SAS</t>
  </si>
  <si>
    <t xml:space="preserve">Minera  Equipos del Sur S.A.C.</t>
  </si>
  <si>
    <t xml:space="preserve">Minera Equipos del Sur S.A.C.</t>
  </si>
  <si>
    <t xml:space="preserve">PACIFICO AUTOS LTDA</t>
  </si>
  <si>
    <t xml:space="preserve">Pacifico Autos Ltda.</t>
  </si>
  <si>
    <t xml:space="preserve">Pacific  Bridge Equipment Inc.</t>
  </si>
  <si>
    <t xml:space="preserve">Pacific Bridge Equipment Inc.</t>
  </si>
  <si>
    <t xml:space="preserve">Pacifico  Autos Ltda.</t>
  </si>
  <si>
    <t xml:space="preserve">Pichincha Heavy Equipment S.A.</t>
  </si>
  <si>
    <t xml:space="preserve">Pichincha Heavy Equipment SA</t>
  </si>
  <si>
    <t xml:space="preserve">QUISQUEYA MOTORS SRL</t>
  </si>
  <si>
    <t xml:space="preserve">Quisqueya Motors S.R.L.</t>
  </si>
  <si>
    <t xml:space="preserve">Quisqueya  Motors S.R.L.</t>
  </si>
  <si>
    <t xml:space="preserve">Quisqueya Motors SRL</t>
  </si>
  <si>
    <t xml:space="preserve">SANTO DOMINGO AUTOS SRL</t>
  </si>
  <si>
    <t xml:space="preserve">Santo Domingo Autos S.R.L.</t>
  </si>
  <si>
    <t xml:space="preserve">Santo  Domingo Autos S.R.L.</t>
  </si>
  <si>
    <t xml:space="preserve">Santo Domingo Autos SRL</t>
  </si>
  <si>
    <t xml:space="preserve">Transcargo  Pesados S.A.S.</t>
  </si>
  <si>
    <t xml:space="preserve">Transcargo Pesados S.A.S.</t>
  </si>
  <si>
    <t xml:space="preserve">Transcargo Pesados SAS</t>
  </si>
  <si>
    <t xml:space="preserve">Market size by country — units (fictional data)</t>
  </si>
  <si>
    <t xml:space="preserve">Country</t>
  </si>
  <si>
    <t xml:space="preserve">Vehicles — US East Coast</t>
  </si>
  <si>
    <t xml:space="preserve">Vehicles — all origins</t>
  </si>
  <si>
    <t xml:space="preserve">Vehicles — EC share</t>
  </si>
  <si>
    <t xml:space="preserve">H&amp;H — US East Coast</t>
  </si>
  <si>
    <t xml:space="preserve">H&amp;H — all origins</t>
  </si>
  <si>
    <t xml:space="preserve">H&amp;H — EC share</t>
  </si>
  <si>
    <t xml:space="preserve">Chile</t>
  </si>
  <si>
    <t xml:space="preserve">Colombia</t>
  </si>
  <si>
    <t xml:space="preserve">Peru</t>
  </si>
  <si>
    <t xml:space="preserve">Ecuador</t>
  </si>
  <si>
    <t xml:space="preserve">Dominican Republic</t>
  </si>
  <si>
    <t xml:space="preserve">Panama</t>
  </si>
  <si>
    <t xml:space="preserve">Total</t>
  </si>
  <si>
    <t xml:space="preserve">Note: Vehicles and H&amp;H use different units of scale (H&amp;H units are much heavier); compare within each segment.</t>
  </si>
  <si>
    <t xml:space="preserve">Declaration No</t>
  </si>
  <si>
    <t xml:space="preserve">Date</t>
  </si>
  <si>
    <t xml:space="preserve">Importer (as declared)</t>
  </si>
  <si>
    <t xml:space="preserve">Quantity (units)</t>
  </si>
  <si>
    <t xml:space="preserve">Gross weight (kg)</t>
  </si>
  <si>
    <t xml:space="preserve">Port of loading</t>
  </si>
  <si>
    <t xml:space="preserve">HS description</t>
  </si>
  <si>
    <t xml:space="preserve">Importer (normalized)</t>
  </si>
  <si>
    <t xml:space="preserve">Unit weight (kg)</t>
  </si>
  <si>
    <t xml:space="preserve">Weight check</t>
  </si>
  <si>
    <t xml:space="preserve">Corrected unit weight (kg)</t>
  </si>
  <si>
    <t xml:space="preserve">US East Coast?</t>
  </si>
  <si>
    <t xml:space="preserve">Segment</t>
  </si>
  <si>
    <t xml:space="preserve">Corrected gross weight (kg)</t>
  </si>
  <si>
    <t xml:space="preserve">CL-25-00015</t>
  </si>
  <si>
    <t xml:space="preserve">PA-25-00016</t>
  </si>
  <si>
    <t xml:space="preserve">Yokohama</t>
  </si>
  <si>
    <t xml:space="preserve">CL-25-00023</t>
  </si>
  <si>
    <t xml:space="preserve">Bremerhaven</t>
  </si>
  <si>
    <t xml:space="preserve">PA-25-00005</t>
  </si>
  <si>
    <t xml:space="preserve">CO-25-00010</t>
  </si>
  <si>
    <t xml:space="preserve">CL-25-00034</t>
  </si>
  <si>
    <t xml:space="preserve">Shanghai</t>
  </si>
  <si>
    <t xml:space="preserve">EC-25-00029</t>
  </si>
  <si>
    <t xml:space="preserve">PA-25-00003</t>
  </si>
  <si>
    <t xml:space="preserve">EC-25-00035</t>
  </si>
  <si>
    <t xml:space="preserve">DO-25-00026</t>
  </si>
  <si>
    <t xml:space="preserve">PA-25-00023</t>
  </si>
  <si>
    <t xml:space="preserve">PA-25-00002</t>
  </si>
  <si>
    <t xml:space="preserve">Long Beach</t>
  </si>
  <si>
    <t xml:space="preserve">PE-25-00002</t>
  </si>
  <si>
    <t xml:space="preserve">PA-25-00021</t>
  </si>
  <si>
    <t xml:space="preserve">CO-25-00016</t>
  </si>
  <si>
    <t xml:space="preserve">CL-25-00026</t>
  </si>
  <si>
    <t xml:space="preserve">PE-25-00001</t>
  </si>
  <si>
    <t xml:space="preserve">EC-25-00020</t>
  </si>
  <si>
    <t xml:space="preserve">PE-25-00029</t>
  </si>
  <si>
    <t xml:space="preserve">CL-25-00006</t>
  </si>
  <si>
    <t xml:space="preserve">CL-25-00007</t>
  </si>
  <si>
    <t xml:space="preserve">CL-25-00016</t>
  </si>
  <si>
    <t xml:space="preserve">EC-25-00018</t>
  </si>
  <si>
    <t xml:space="preserve">CL-25-00002</t>
  </si>
  <si>
    <t xml:space="preserve">PE-25-00027</t>
  </si>
  <si>
    <t xml:space="preserve">CL-25-00032</t>
  </si>
  <si>
    <t xml:space="preserve">CL-25-00021</t>
  </si>
  <si>
    <t xml:space="preserve">CO-25-00033</t>
  </si>
  <si>
    <t xml:space="preserve">CL-25-00012</t>
  </si>
  <si>
    <t xml:space="preserve">PE-25-00036</t>
  </si>
  <si>
    <t xml:space="preserve">PA-25-00017</t>
  </si>
  <si>
    <t xml:space="preserve">CO-25-00034</t>
  </si>
  <si>
    <t xml:space="preserve">Ulsan</t>
  </si>
  <si>
    <t xml:space="preserve">PA-25-00008</t>
  </si>
  <si>
    <t xml:space="preserve">CO-25-00031</t>
  </si>
  <si>
    <t xml:space="preserve">DO-25-00022</t>
  </si>
  <si>
    <t xml:space="preserve">PE-25-00037</t>
  </si>
  <si>
    <t xml:space="preserve">DO-25-00014</t>
  </si>
  <si>
    <t xml:space="preserve">DO-25-00001</t>
  </si>
  <si>
    <t xml:space="preserve">EC-25-00034</t>
  </si>
  <si>
    <t xml:space="preserve">DO-25-00031</t>
  </si>
  <si>
    <t xml:space="preserve">Houston</t>
  </si>
  <si>
    <t xml:space="preserve">EC-25-00032</t>
  </si>
  <si>
    <t xml:space="preserve">EC-25-00026</t>
  </si>
  <si>
    <t xml:space="preserve">PA-25-00022</t>
  </si>
  <si>
    <t xml:space="preserve">EC-25-00021</t>
  </si>
  <si>
    <t xml:space="preserve">PA-25-00031</t>
  </si>
  <si>
    <t xml:space="preserve">CO-25-00023</t>
  </si>
  <si>
    <t xml:space="preserve">PA-25-00009</t>
  </si>
  <si>
    <t xml:space="preserve">CL-25-00025</t>
  </si>
  <si>
    <t xml:space="preserve">CL-25-00004</t>
  </si>
  <si>
    <t xml:space="preserve">CL-25-00036</t>
  </si>
  <si>
    <t xml:space="preserve">PA-25-00037</t>
  </si>
  <si>
    <t xml:space="preserve">DO-25-00006</t>
  </si>
  <si>
    <t xml:space="preserve">EC-25-00015</t>
  </si>
  <si>
    <t xml:space="preserve">CO-25-00032</t>
  </si>
  <si>
    <t xml:space="preserve">CL-25-00022</t>
  </si>
  <si>
    <t xml:space="preserve">CL-25-00020</t>
  </si>
  <si>
    <t xml:space="preserve">EC-25-00028</t>
  </si>
  <si>
    <t xml:space="preserve">CL-25-00003</t>
  </si>
  <si>
    <t xml:space="preserve">Antwerp</t>
  </si>
  <si>
    <t xml:space="preserve">CO-25-00001</t>
  </si>
  <si>
    <t xml:space="preserve">DO-25-00002</t>
  </si>
  <si>
    <t xml:space="preserve">DO-25-00011</t>
  </si>
  <si>
    <t xml:space="preserve">DO-25-00013</t>
  </si>
  <si>
    <t xml:space="preserve">CO-25-00036</t>
  </si>
  <si>
    <t xml:space="preserve">CL-25-00017</t>
  </si>
  <si>
    <t xml:space="preserve">EC-25-00014</t>
  </si>
  <si>
    <t xml:space="preserve">PA-25-00019</t>
  </si>
  <si>
    <t xml:space="preserve">PE-25-00033</t>
  </si>
  <si>
    <t xml:space="preserve">PE-25-00031</t>
  </si>
  <si>
    <t xml:space="preserve">CO-25-00022</t>
  </si>
  <si>
    <t xml:space="preserve">CL-25-00018</t>
  </si>
  <si>
    <t xml:space="preserve">PE-25-00010</t>
  </si>
  <si>
    <t xml:space="preserve">PE-25-00019</t>
  </si>
  <si>
    <t xml:space="preserve">PE-25-00035</t>
  </si>
  <si>
    <t xml:space="preserve">CO-25-00035</t>
  </si>
  <si>
    <t xml:space="preserve">DO-25-00023</t>
  </si>
  <si>
    <t xml:space="preserve">CL-25-00014</t>
  </si>
  <si>
    <t xml:space="preserve">PA-25-00007</t>
  </si>
  <si>
    <t xml:space="preserve">CL-25-00010</t>
  </si>
  <si>
    <t xml:space="preserve">PE-25-00004</t>
  </si>
  <si>
    <t xml:space="preserve">CL-25-00031</t>
  </si>
  <si>
    <t xml:space="preserve">CO-25-00015</t>
  </si>
  <si>
    <t xml:space="preserve">EC-25-00012</t>
  </si>
  <si>
    <t xml:space="preserve">EC-25-00003</t>
  </si>
  <si>
    <t xml:space="preserve">CO-25-00028</t>
  </si>
  <si>
    <t xml:space="preserve">PE-25-00013</t>
  </si>
  <si>
    <t xml:space="preserve">DO-25-00017</t>
  </si>
  <si>
    <t xml:space="preserve">DO-25-00034</t>
  </si>
  <si>
    <t xml:space="preserve">EC-25-00008</t>
  </si>
  <si>
    <t xml:space="preserve">EC-25-00036</t>
  </si>
  <si>
    <t xml:space="preserve">CO-25-00008</t>
  </si>
  <si>
    <t xml:space="preserve">EC-25-00011</t>
  </si>
  <si>
    <t xml:space="preserve">EC-25-00016</t>
  </si>
  <si>
    <t xml:space="preserve">PA-25-00028</t>
  </si>
  <si>
    <t xml:space="preserve">PA-25-00020</t>
  </si>
  <si>
    <t xml:space="preserve">CO-25-00002</t>
  </si>
  <si>
    <t xml:space="preserve">CL-25-00019</t>
  </si>
  <si>
    <t xml:space="preserve">CO-25-00003</t>
  </si>
  <si>
    <t xml:space="preserve">PE-25-00016</t>
  </si>
  <si>
    <t xml:space="preserve">PE-25-00005</t>
  </si>
  <si>
    <t xml:space="preserve">DO-25-00033</t>
  </si>
  <si>
    <t xml:space="preserve">CO-25-00004</t>
  </si>
  <si>
    <t xml:space="preserve">PA-25-00013</t>
  </si>
  <si>
    <t xml:space="preserve">CL-25-00029</t>
  </si>
  <si>
    <t xml:space="preserve">CL-25-00005</t>
  </si>
  <si>
    <t xml:space="preserve">CL-25-00035</t>
  </si>
  <si>
    <t xml:space="preserve">PA-25-00027</t>
  </si>
  <si>
    <t xml:space="preserve">PE-25-00020</t>
  </si>
  <si>
    <t xml:space="preserve">EC-25-00022</t>
  </si>
  <si>
    <t xml:space="preserve">CL-25-00008</t>
  </si>
  <si>
    <t xml:space="preserve">PA-25-00024</t>
  </si>
  <si>
    <t xml:space="preserve">PE-25-00032</t>
  </si>
  <si>
    <t xml:space="preserve">DO-25-00009</t>
  </si>
  <si>
    <t xml:space="preserve">EC-25-00037</t>
  </si>
  <si>
    <t xml:space="preserve">PE-25-00014</t>
  </si>
  <si>
    <t xml:space="preserve">CL-25-00024</t>
  </si>
  <si>
    <t xml:space="preserve">CO-25-00021</t>
  </si>
  <si>
    <t xml:space="preserve">CO-25-00011</t>
  </si>
  <si>
    <t xml:space="preserve">EC-25-00033</t>
  </si>
  <si>
    <t xml:space="preserve">PE-25-00015</t>
  </si>
  <si>
    <t xml:space="preserve">EC-25-00005</t>
  </si>
  <si>
    <t xml:space="preserve">CO-25-00030</t>
  </si>
  <si>
    <t xml:space="preserve">PA-25-00032</t>
  </si>
  <si>
    <t xml:space="preserve">CO-25-00018</t>
  </si>
  <si>
    <t xml:space="preserve">EC-25-00002</t>
  </si>
  <si>
    <t xml:space="preserve">CL-25-00011</t>
  </si>
  <si>
    <t xml:space="preserve">EC-25-00004</t>
  </si>
  <si>
    <t xml:space="preserve">DO-25-00008</t>
  </si>
  <si>
    <t xml:space="preserve">PE-25-00003</t>
  </si>
  <si>
    <t xml:space="preserve">CL-25-00033</t>
  </si>
  <si>
    <t xml:space="preserve">PA-25-00011</t>
  </si>
  <si>
    <t xml:space="preserve">CO-25-00037</t>
  </si>
  <si>
    <t xml:space="preserve">EC-25-00001</t>
  </si>
  <si>
    <t xml:space="preserve">PE-25-00034</t>
  </si>
  <si>
    <t xml:space="preserve">CL-25-00028</t>
  </si>
  <si>
    <t xml:space="preserve">DO-25-00024</t>
  </si>
  <si>
    <t xml:space="preserve">DO-25-00021</t>
  </si>
  <si>
    <t xml:space="preserve">PE-25-00022</t>
  </si>
  <si>
    <t xml:space="preserve">PA-25-00001</t>
  </si>
  <si>
    <t xml:space="preserve">DO-25-00028</t>
  </si>
  <si>
    <t xml:space="preserve">DO-25-00030</t>
  </si>
  <si>
    <t xml:space="preserve">EC-25-00006</t>
  </si>
  <si>
    <t xml:space="preserve">PA-25-00026</t>
  </si>
  <si>
    <t xml:space="preserve">DO-25-00020</t>
  </si>
  <si>
    <t xml:space="preserve">PE-25-00009</t>
  </si>
  <si>
    <t xml:space="preserve">PA-25-00030</t>
  </si>
  <si>
    <t xml:space="preserve">DO-25-00004</t>
  </si>
  <si>
    <t xml:space="preserve">EC-25-00024</t>
  </si>
  <si>
    <t xml:space="preserve">PA-25-00004</t>
  </si>
  <si>
    <t xml:space="preserve">CO-25-00006</t>
  </si>
  <si>
    <t xml:space="preserve">PE-25-00011</t>
  </si>
  <si>
    <t xml:space="preserve">PA-25-00012</t>
  </si>
  <si>
    <t xml:space="preserve">CO-25-00012</t>
  </si>
  <si>
    <t xml:space="preserve">PA-25-00033</t>
  </si>
  <si>
    <t xml:space="preserve">PA-25-00010</t>
  </si>
  <si>
    <t xml:space="preserve">CL-25-00013</t>
  </si>
  <si>
    <t xml:space="preserve">CL-25-00030</t>
  </si>
  <si>
    <t xml:space="preserve">EC-25-00031</t>
  </si>
  <si>
    <t xml:space="preserve">EC-25-00019</t>
  </si>
  <si>
    <t xml:space="preserve">PE-25-00028</t>
  </si>
  <si>
    <t xml:space="preserve">CO-25-00026</t>
  </si>
  <si>
    <t xml:space="preserve">PA-25-00036</t>
  </si>
  <si>
    <t xml:space="preserve">DO-25-00005</t>
  </si>
  <si>
    <t xml:space="preserve">PE-25-00006</t>
  </si>
  <si>
    <t xml:space="preserve">DO-25-00027</t>
  </si>
  <si>
    <t xml:space="preserve">DO-25-00010</t>
  </si>
  <si>
    <t xml:space="preserve">EC-25-00007</t>
  </si>
  <si>
    <t xml:space="preserve">DO-25-00029</t>
  </si>
  <si>
    <t xml:space="preserve">EC-25-00010</t>
  </si>
  <si>
    <t xml:space="preserve">PA-25-00029</t>
  </si>
  <si>
    <t xml:space="preserve">PE-25-00024</t>
  </si>
  <si>
    <t xml:space="preserve">EC-25-00009</t>
  </si>
  <si>
    <t xml:space="preserve">DO-25-00015</t>
  </si>
  <si>
    <t xml:space="preserve">DO-25-00018</t>
  </si>
  <si>
    <t xml:space="preserve">CO-25-00017</t>
  </si>
  <si>
    <t xml:space="preserve">CO-25-00020</t>
  </si>
  <si>
    <t xml:space="preserve">CO-25-00013</t>
  </si>
  <si>
    <t xml:space="preserve">PA-25-00018</t>
  </si>
  <si>
    <t xml:space="preserve">PE-25-00012</t>
  </si>
  <si>
    <t xml:space="preserve">CO-25-00024</t>
  </si>
  <si>
    <t xml:space="preserve">PE-25-00025</t>
  </si>
  <si>
    <t xml:space="preserve">EC-25-00030</t>
  </si>
  <si>
    <t xml:space="preserve">CO-25-00027</t>
  </si>
  <si>
    <t xml:space="preserve">DO-25-00037</t>
  </si>
  <si>
    <t xml:space="preserve">EC-25-00017</t>
  </si>
  <si>
    <t xml:space="preserve">PE-25-00008</t>
  </si>
  <si>
    <t xml:space="preserve">EC-25-00025</t>
  </si>
  <si>
    <t xml:space="preserve">CO-25-00014</t>
  </si>
  <si>
    <t xml:space="preserve">PE-25-00030</t>
  </si>
  <si>
    <t xml:space="preserve">CL-25-00001</t>
  </si>
  <si>
    <t xml:space="preserve">CL-25-00009</t>
  </si>
  <si>
    <t xml:space="preserve">DO-25-00007</t>
  </si>
  <si>
    <t xml:space="preserve">DO-25-00016</t>
  </si>
  <si>
    <t xml:space="preserve">PE-25-00023</t>
  </si>
  <si>
    <t xml:space="preserve">PA-25-00014</t>
  </si>
  <si>
    <t xml:space="preserve">EC-25-00027</t>
  </si>
  <si>
    <t xml:space="preserve">DO-25-00019</t>
  </si>
  <si>
    <t xml:space="preserve">EC-25-00023</t>
  </si>
  <si>
    <t xml:space="preserve">DO-25-00003</t>
  </si>
  <si>
    <t xml:space="preserve">DO-25-00036</t>
  </si>
  <si>
    <t xml:space="preserve">PE-25-00017</t>
  </si>
  <si>
    <t xml:space="preserve">CL-25-00027</t>
  </si>
  <si>
    <t xml:space="preserve">PE-25-00007</t>
  </si>
  <si>
    <t xml:space="preserve">CO-25-00009</t>
  </si>
  <si>
    <t xml:space="preserve">PE-25-00026</t>
  </si>
  <si>
    <t xml:space="preserve">PA-25-00015</t>
  </si>
  <si>
    <t xml:space="preserve">CO-25-00007</t>
  </si>
  <si>
    <t xml:space="preserve">DO-25-00012</t>
  </si>
  <si>
    <t xml:space="preserve">CL-25-00037</t>
  </si>
  <si>
    <t xml:space="preserve">CO-25-00019</t>
  </si>
  <si>
    <t xml:space="preserve">PA-25-00006</t>
  </si>
  <si>
    <t xml:space="preserve">PA-25-00025</t>
  </si>
  <si>
    <t xml:space="preserve">DO-25-00025</t>
  </si>
  <si>
    <t xml:space="preserve">PE-25-00018</t>
  </si>
  <si>
    <t xml:space="preserve">CO-25-00025</t>
  </si>
  <si>
    <t xml:space="preserve">DO-25-00035</t>
  </si>
  <si>
    <t xml:space="preserve">EC-25-00013</t>
  </si>
  <si>
    <t xml:space="preserve">PE-25-00021</t>
  </si>
  <si>
    <t xml:space="preserve">CO-25-00005</t>
  </si>
  <si>
    <t xml:space="preserve">PA-25-00034</t>
  </si>
  <si>
    <t xml:space="preserve">CO-25-00029</t>
  </si>
  <si>
    <t xml:space="preserve">PA-25-00035</t>
  </si>
  <si>
    <t xml:space="preserve">DO-25-00032</t>
  </si>
  <si>
    <t xml:space="preserve">Top 10 importers — Passenger vehicles &amp; light commercial (≤ 15 t/unit)</t>
  </si>
  <si>
    <t xml:space="preserve">US East Coast origin only. Fictional data.</t>
  </si>
  <si>
    <t xml:space="preserve">Country:</t>
  </si>
  <si>
    <t xml:space="preserve">All countries</t>
  </si>
  <si>
    <t xml:space="preserve">Calculation table (all importers)</t>
  </si>
  <si>
    <t xml:space="preserve">Rank</t>
  </si>
  <si>
    <t xml:space="preserve">Importer</t>
  </si>
  <si>
    <t xml:space="preserve">Units</t>
  </si>
  <si>
    <t xml:space="preserve">Weight (t)</t>
  </si>
  <si>
    <t xml:space="preserve">Market share</t>
  </si>
  <si>
    <t xml:space="preserve">Importer (all)</t>
  </si>
  <si>
    <t xml:space="preserve">Top 10 total</t>
  </si>
  <si>
    <t xml:space="preserve">Rest of importers</t>
  </si>
  <si>
    <t xml:space="preserve">Total market</t>
  </si>
  <si>
    <t xml:space="preserve">Number of active importers</t>
  </si>
  <si>
    <t xml:space="preserve">Top 10 importers — High &amp; Heavy (&gt; 15 t/unit)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</si>
</sst>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yyyy\-mm\-dd"/>
    <numFmt numFmtId="168" formatCode="#,##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304D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color rgb="FF14304D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4304D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  <font>
      <b val="true"/>
      <sz val="10"/>
      <color rgb="FF1E7A7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304D"/>
        <bgColor rgb="FF333333"/>
      </patternFill>
    </fill>
    <fill>
      <patternFill patternType="solid">
        <fgColor rgb="FFEAF2F2"/>
        <bgColor rgb="FFFFFFFF"/>
      </patternFill>
    </fill>
    <fill>
      <patternFill patternType="solid">
        <fgColor rgb="FF1E7A75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4304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7A75"/>
          <bgColor rgb="FF000000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75"/>
      <rgbColor rgb="FFBFBFBF"/>
      <rgbColor rgb="FF878787"/>
      <rgbColor rgb="FF9999FF"/>
      <rgbColor rgb="FF993366"/>
      <rgbColor rgb="FFFCE4D6"/>
      <rgbColor rgb="FFEA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430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 East Coast units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</c:f>
              <c:strCache>
                <c:ptCount val="1"/>
                <c:pt idx="0">
                  <c:v>Vehicles — US East Coast</c:v>
                </c:pt>
              </c:strCache>
            </c:strRef>
          </c:tx>
          <c:spPr>
            <a:solidFill>
              <a:srgbClr val="143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Summary!$A$4:$A$9</c:f>
              <c:strCache>
                <c:ptCount val="6"/>
                <c:pt idx="0">
                  <c:v>Chile</c:v>
                </c:pt>
                <c:pt idx="1">
                  <c:v>Colombia</c:v>
                </c:pt>
                <c:pt idx="2">
                  <c:v>Peru</c:v>
                </c:pt>
                <c:pt idx="3">
                  <c:v>Ecuador</c:v>
                </c:pt>
                <c:pt idx="4">
                  <c:v>Dominican Republic</c:v>
                </c:pt>
                <c:pt idx="5">
                  <c:v>Panama</c:v>
                </c:pt>
              </c:strCache>
            </c:strRef>
          </c:cat>
          <c:val>
            <c:numRef>
              <c:f>Summary!$B$4:$B$9</c:f>
              <c:numCache>
                <c:formatCode>#,##0</c:formatCode>
                <c:ptCount val="6"/>
                <c:pt idx="0">
                  <c:v>361</c:v>
                </c:pt>
                <c:pt idx="1">
                  <c:v>400</c:v>
                </c:pt>
                <c:pt idx="2">
                  <c:v>429</c:v>
                </c:pt>
                <c:pt idx="3">
                  <c:v>414</c:v>
                </c:pt>
                <c:pt idx="4">
                  <c:v>440</c:v>
                </c:pt>
                <c:pt idx="5">
                  <c:v>394</c:v>
                </c:pt>
              </c:numCache>
            </c:numRef>
          </c:val>
        </c:ser>
        <c:ser>
          <c:idx val="1"/>
          <c:order val="1"/>
          <c:tx>
            <c:strRef>
              <c:f>Summary!E3</c:f>
              <c:strCache>
                <c:ptCount val="1"/>
                <c:pt idx="0">
                  <c:v>H&amp;H — US East Coast</c:v>
                </c:pt>
              </c:strCache>
            </c:strRef>
          </c:tx>
          <c:spPr>
            <a:solidFill>
              <a:srgbClr val="1e7a7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Summary!$A$4:$A$9</c:f>
              <c:strCache>
                <c:ptCount val="6"/>
                <c:pt idx="0">
                  <c:v>Chile</c:v>
                </c:pt>
                <c:pt idx="1">
                  <c:v>Colombia</c:v>
                </c:pt>
                <c:pt idx="2">
                  <c:v>Peru</c:v>
                </c:pt>
                <c:pt idx="3">
                  <c:v>Ecuador</c:v>
                </c:pt>
                <c:pt idx="4">
                  <c:v>Dominican Republic</c:v>
                </c:pt>
                <c:pt idx="5">
                  <c:v>Panama</c:v>
                </c:pt>
              </c:strCache>
            </c:strRef>
          </c:cat>
          <c:val>
            <c:numRef>
              <c:f>Summary!$E$4:$E$9</c:f>
              <c:numCache>
                <c:formatCode>#,##0</c:formatCode>
                <c:ptCount val="6"/>
                <c:pt idx="0">
                  <c:v>17</c:v>
                </c:pt>
                <c:pt idx="1">
                  <c:v>14</c:v>
                </c:pt>
                <c:pt idx="2">
                  <c:v>13</c:v>
                </c:pt>
                <c:pt idx="3">
                  <c:v>20</c:v>
                </c:pt>
                <c:pt idx="4">
                  <c:v>28</c:v>
                </c:pt>
                <c:pt idx="5">
                  <c:v>33</c:v>
                </c:pt>
              </c:numCache>
            </c:numRef>
          </c:val>
        </c:ser>
        <c:gapWidth val="150"/>
        <c:overlap val="0"/>
        <c:axId val="98284857"/>
        <c:axId val="69434884"/>
      </c:barChart>
      <c:catAx>
        <c:axId val="982848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34884"/>
        <c:crosses val="autoZero"/>
        <c:auto val="1"/>
        <c:lblAlgn val="ctr"/>
        <c:lblOffset val="100"/>
        <c:noMultiLvlLbl val="0"/>
      </c:catAx>
      <c:valAx>
        <c:axId val="694348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848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176040</xdr:rowOff>
    </xdr:from>
    <xdr:to>
      <xdr:col>6</xdr:col>
      <xdr:colOff>276840</xdr:colOff>
      <xdr:row>27</xdr:row>
      <xdr:rowOff>7560</xdr:rowOff>
    </xdr:to>
    <xdr:graphicFrame>
      <xdr:nvGraphicFramePr>
        <xdr:cNvPr id="0" name="Chart 1"/>
        <xdr:cNvGraphicFramePr/>
      </xdr:nvGraphicFramePr>
      <xdr:xfrm>
        <a:off x="0" y="24955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5" t="s">
        <v>12</v>
      </c>
    </row>
    <row r="17" customFormat="false" ht="23.8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5" t="s">
        <v>14</v>
      </c>
    </row>
    <row r="19" customFormat="false" ht="15" hidden="false" customHeight="false" outlineLevel="0" collapsed="false">
      <c r="A19" s="5" t="s">
        <v>15</v>
      </c>
    </row>
    <row r="20" customFormat="false" ht="15" hidden="false" customHeight="false" outlineLevel="0" collapsed="false">
      <c r="A20" s="5" t="s">
        <v>16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22"/>
    <col collapsed="false" customWidth="true" hidden="false" outlineLevel="0" max="6" min="6" style="0" width="4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16.15" hidden="false" customHeight="false" outlineLevel="0" collapsed="false">
      <c r="A1" s="6" t="s">
        <v>19</v>
      </c>
    </row>
    <row r="3" customFormat="false" ht="15" hidden="false" customHeight="false" outlineLevel="0" collapsed="false">
      <c r="A3" s="7" t="s">
        <v>20</v>
      </c>
      <c r="B3" s="8" t="n">
        <v>15000</v>
      </c>
      <c r="C3" s="9" t="s">
        <v>21</v>
      </c>
      <c r="D3" s="10"/>
      <c r="E3" s="10"/>
      <c r="F3" s="10"/>
      <c r="G3" s="10"/>
      <c r="H3" s="10"/>
    </row>
    <row r="5" customFormat="false" ht="15" hidden="false" customHeight="false" outlineLevel="0" collapsed="false">
      <c r="A5" s="11" t="s">
        <v>22</v>
      </c>
      <c r="C5" s="11" t="s">
        <v>23</v>
      </c>
      <c r="E5" s="11" t="s">
        <v>24</v>
      </c>
      <c r="G5" s="11" t="s">
        <v>25</v>
      </c>
      <c r="H5" s="11" t="s">
        <v>26</v>
      </c>
    </row>
    <row r="6" customFormat="false" ht="15" hidden="false" customHeight="false" outlineLevel="0" collapsed="false">
      <c r="A6" s="12" t="n">
        <v>8703</v>
      </c>
      <c r="C6" s="12" t="n">
        <v>8701</v>
      </c>
      <c r="E6" s="12" t="s">
        <v>27</v>
      </c>
      <c r="G6" s="10" t="n">
        <v>8703</v>
      </c>
      <c r="H6" s="10" t="s">
        <v>28</v>
      </c>
    </row>
    <row r="7" customFormat="false" ht="15" hidden="false" customHeight="false" outlineLevel="0" collapsed="false">
      <c r="A7" s="12" t="n">
        <v>8704</v>
      </c>
      <c r="C7" s="12" t="n">
        <v>8702</v>
      </c>
      <c r="E7" s="12" t="s">
        <v>29</v>
      </c>
      <c r="G7" s="10" t="n">
        <v>8704</v>
      </c>
      <c r="H7" s="10" t="s">
        <v>30</v>
      </c>
    </row>
    <row r="8" customFormat="false" ht="15" hidden="false" customHeight="false" outlineLevel="0" collapsed="false">
      <c r="C8" s="12" t="n">
        <v>8704</v>
      </c>
      <c r="E8" s="12" t="s">
        <v>31</v>
      </c>
      <c r="G8" s="10" t="n">
        <v>8701</v>
      </c>
      <c r="H8" s="10" t="s">
        <v>32</v>
      </c>
    </row>
    <row r="9" customFormat="false" ht="15" hidden="false" customHeight="false" outlineLevel="0" collapsed="false">
      <c r="C9" s="12" t="n">
        <v>8705</v>
      </c>
      <c r="E9" s="12" t="s">
        <v>33</v>
      </c>
      <c r="G9" s="10" t="n">
        <v>8702</v>
      </c>
      <c r="H9" s="10" t="s">
        <v>34</v>
      </c>
    </row>
    <row r="10" customFormat="false" ht="15" hidden="false" customHeight="false" outlineLevel="0" collapsed="false">
      <c r="C10" s="12" t="n">
        <v>8426</v>
      </c>
      <c r="E10" s="12" t="s">
        <v>35</v>
      </c>
      <c r="G10" s="10" t="n">
        <v>8705</v>
      </c>
      <c r="H10" s="10" t="s">
        <v>36</v>
      </c>
    </row>
    <row r="11" customFormat="false" ht="15" hidden="false" customHeight="false" outlineLevel="0" collapsed="false">
      <c r="C11" s="12" t="n">
        <v>8427</v>
      </c>
      <c r="E11" s="12" t="s">
        <v>37</v>
      </c>
      <c r="G11" s="10" t="n">
        <v>8426</v>
      </c>
      <c r="H11" s="10" t="s">
        <v>38</v>
      </c>
    </row>
    <row r="12" customFormat="false" ht="15" hidden="false" customHeight="false" outlineLevel="0" collapsed="false">
      <c r="C12" s="12" t="n">
        <v>8429</v>
      </c>
      <c r="E12" s="12" t="s">
        <v>39</v>
      </c>
      <c r="G12" s="10" t="n">
        <v>8427</v>
      </c>
      <c r="H12" s="10" t="s">
        <v>40</v>
      </c>
    </row>
    <row r="13" customFormat="false" ht="15" hidden="false" customHeight="false" outlineLevel="0" collapsed="false">
      <c r="C13" s="12" t="n">
        <v>8430</v>
      </c>
      <c r="E13" s="12" t="s">
        <v>41</v>
      </c>
      <c r="G13" s="10" t="n">
        <v>8429</v>
      </c>
      <c r="H13" s="10" t="s">
        <v>42</v>
      </c>
    </row>
    <row r="14" customFormat="false" ht="15" hidden="false" customHeight="false" outlineLevel="0" collapsed="false">
      <c r="C14" s="12" t="n">
        <v>8433</v>
      </c>
      <c r="G14" s="10" t="n">
        <v>8430</v>
      </c>
      <c r="H14" s="10" t="s">
        <v>43</v>
      </c>
    </row>
    <row r="15" customFormat="false" ht="15" hidden="false" customHeight="false" outlineLevel="0" collapsed="false">
      <c r="G15" s="10" t="n">
        <v>8433</v>
      </c>
      <c r="H15" s="1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8"/>
  </cols>
  <sheetData>
    <row r="1" customFormat="false" ht="15" hidden="false" customHeight="false" outlineLevel="0" collapsed="false">
      <c r="A1" s="11" t="s">
        <v>45</v>
      </c>
      <c r="B1" s="11" t="s">
        <v>46</v>
      </c>
    </row>
    <row r="2" customFormat="false" ht="15" hidden="false" customHeight="false" outlineLevel="0" collapsed="false">
      <c r="A2" s="10" t="s">
        <v>47</v>
      </c>
      <c r="B2" s="10" t="s">
        <v>48</v>
      </c>
    </row>
    <row r="3" customFormat="false" ht="15" hidden="false" customHeight="false" outlineLevel="0" collapsed="false">
      <c r="A3" s="10" t="s">
        <v>49</v>
      </c>
      <c r="B3" s="10" t="s">
        <v>50</v>
      </c>
    </row>
    <row r="4" customFormat="false" ht="15" hidden="false" customHeight="false" outlineLevel="0" collapsed="false">
      <c r="A4" s="10" t="s">
        <v>51</v>
      </c>
      <c r="B4" s="10" t="s">
        <v>52</v>
      </c>
    </row>
    <row r="5" customFormat="false" ht="15" hidden="false" customHeight="false" outlineLevel="0" collapsed="false">
      <c r="A5" s="10" t="s">
        <v>53</v>
      </c>
      <c r="B5" s="10" t="s">
        <v>54</v>
      </c>
    </row>
    <row r="6" customFormat="false" ht="15" hidden="false" customHeight="false" outlineLevel="0" collapsed="false">
      <c r="A6" s="10" t="s">
        <v>55</v>
      </c>
      <c r="B6" s="10" t="s">
        <v>56</v>
      </c>
    </row>
    <row r="7" customFormat="false" ht="15" hidden="false" customHeight="false" outlineLevel="0" collapsed="false">
      <c r="A7" s="10" t="s">
        <v>57</v>
      </c>
      <c r="B7" s="10" t="s">
        <v>58</v>
      </c>
    </row>
    <row r="8" customFormat="false" ht="15" hidden="false" customHeight="false" outlineLevel="0" collapsed="false">
      <c r="A8" s="10" t="s">
        <v>59</v>
      </c>
      <c r="B8" s="10" t="s">
        <v>48</v>
      </c>
    </row>
    <row r="9" customFormat="false" ht="15" hidden="false" customHeight="false" outlineLevel="0" collapsed="false">
      <c r="A9" s="10" t="s">
        <v>48</v>
      </c>
      <c r="B9" s="10" t="s">
        <v>48</v>
      </c>
    </row>
    <row r="10" customFormat="false" ht="15" hidden="false" customHeight="false" outlineLevel="0" collapsed="false">
      <c r="A10" s="10" t="s">
        <v>60</v>
      </c>
      <c r="B10" s="10" t="s">
        <v>48</v>
      </c>
    </row>
    <row r="11" customFormat="false" ht="15" hidden="false" customHeight="false" outlineLevel="0" collapsed="false">
      <c r="A11" s="10" t="s">
        <v>61</v>
      </c>
      <c r="B11" s="10" t="s">
        <v>50</v>
      </c>
    </row>
    <row r="12" customFormat="false" ht="15" hidden="false" customHeight="false" outlineLevel="0" collapsed="false">
      <c r="A12" s="10" t="s">
        <v>50</v>
      </c>
      <c r="B12" s="10" t="s">
        <v>50</v>
      </c>
    </row>
    <row r="13" customFormat="false" ht="15" hidden="false" customHeight="false" outlineLevel="0" collapsed="false">
      <c r="A13" s="10" t="s">
        <v>62</v>
      </c>
      <c r="B13" s="10" t="s">
        <v>50</v>
      </c>
    </row>
    <row r="14" customFormat="false" ht="15" hidden="false" customHeight="false" outlineLevel="0" collapsed="false">
      <c r="A14" s="10" t="s">
        <v>63</v>
      </c>
      <c r="B14" s="10" t="s">
        <v>52</v>
      </c>
    </row>
    <row r="15" customFormat="false" ht="15" hidden="false" customHeight="false" outlineLevel="0" collapsed="false">
      <c r="A15" s="10" t="s">
        <v>52</v>
      </c>
      <c r="B15" s="10" t="s">
        <v>52</v>
      </c>
    </row>
    <row r="16" customFormat="false" ht="15" hidden="false" customHeight="false" outlineLevel="0" collapsed="false">
      <c r="A16" s="10" t="s">
        <v>64</v>
      </c>
      <c r="B16" s="10" t="s">
        <v>52</v>
      </c>
    </row>
    <row r="17" customFormat="false" ht="15" hidden="false" customHeight="false" outlineLevel="0" collapsed="false">
      <c r="A17" s="10" t="s">
        <v>54</v>
      </c>
      <c r="B17" s="10" t="s">
        <v>54</v>
      </c>
    </row>
    <row r="18" customFormat="false" ht="15" hidden="false" customHeight="false" outlineLevel="0" collapsed="false">
      <c r="A18" s="10" t="s">
        <v>65</v>
      </c>
      <c r="B18" s="10" t="s">
        <v>54</v>
      </c>
    </row>
    <row r="19" customFormat="false" ht="15" hidden="false" customHeight="false" outlineLevel="0" collapsed="false">
      <c r="A19" s="10" t="s">
        <v>66</v>
      </c>
      <c r="B19" s="10" t="s">
        <v>56</v>
      </c>
    </row>
    <row r="20" customFormat="false" ht="15" hidden="false" customHeight="false" outlineLevel="0" collapsed="false">
      <c r="A20" s="10" t="s">
        <v>56</v>
      </c>
      <c r="B20" s="10" t="s">
        <v>56</v>
      </c>
    </row>
    <row r="21" customFormat="false" ht="15" hidden="false" customHeight="false" outlineLevel="0" collapsed="false">
      <c r="A21" s="10" t="s">
        <v>67</v>
      </c>
      <c r="B21" s="10" t="s">
        <v>58</v>
      </c>
    </row>
    <row r="22" customFormat="false" ht="15" hidden="false" customHeight="false" outlineLevel="0" collapsed="false">
      <c r="A22" s="10" t="s">
        <v>58</v>
      </c>
      <c r="B22" s="10" t="s">
        <v>58</v>
      </c>
    </row>
    <row r="23" customFormat="false" ht="15" hidden="false" customHeight="false" outlineLevel="0" collapsed="false">
      <c r="A23" s="10" t="s">
        <v>68</v>
      </c>
      <c r="B23" s="10" t="s">
        <v>58</v>
      </c>
    </row>
    <row r="24" customFormat="false" ht="15" hidden="false" customHeight="false" outlineLevel="0" collapsed="false">
      <c r="A24" s="10" t="s">
        <v>69</v>
      </c>
      <c r="B24" s="10" t="s">
        <v>70</v>
      </c>
    </row>
    <row r="25" customFormat="false" ht="15" hidden="false" customHeight="false" outlineLevel="0" collapsed="false">
      <c r="A25" s="10" t="s">
        <v>71</v>
      </c>
      <c r="B25" s="10" t="s">
        <v>70</v>
      </c>
    </row>
    <row r="26" customFormat="false" ht="15" hidden="false" customHeight="false" outlineLevel="0" collapsed="false">
      <c r="A26" s="10" t="s">
        <v>70</v>
      </c>
      <c r="B26" s="10" t="s">
        <v>70</v>
      </c>
    </row>
    <row r="27" customFormat="false" ht="15" hidden="false" customHeight="false" outlineLevel="0" collapsed="false">
      <c r="A27" s="10" t="s">
        <v>72</v>
      </c>
      <c r="B27" s="10" t="s">
        <v>70</v>
      </c>
    </row>
    <row r="28" customFormat="false" ht="15" hidden="false" customHeight="false" outlineLevel="0" collapsed="false">
      <c r="A28" s="10" t="s">
        <v>73</v>
      </c>
      <c r="B28" s="10" t="s">
        <v>74</v>
      </c>
    </row>
    <row r="29" customFormat="false" ht="15" hidden="false" customHeight="false" outlineLevel="0" collapsed="false">
      <c r="A29" s="10" t="s">
        <v>75</v>
      </c>
      <c r="B29" s="10" t="s">
        <v>76</v>
      </c>
    </row>
    <row r="30" customFormat="false" ht="15" hidden="false" customHeight="false" outlineLevel="0" collapsed="false">
      <c r="A30" s="10" t="s">
        <v>77</v>
      </c>
      <c r="B30" s="10" t="s">
        <v>78</v>
      </c>
    </row>
    <row r="31" customFormat="false" ht="15" hidden="false" customHeight="false" outlineLevel="0" collapsed="false">
      <c r="A31" s="10" t="s">
        <v>79</v>
      </c>
      <c r="B31" s="10" t="s">
        <v>80</v>
      </c>
    </row>
    <row r="32" customFormat="false" ht="15" hidden="false" customHeight="false" outlineLevel="0" collapsed="false">
      <c r="A32" s="10" t="s">
        <v>81</v>
      </c>
      <c r="B32" s="10" t="s">
        <v>82</v>
      </c>
    </row>
    <row r="33" customFormat="false" ht="15" hidden="false" customHeight="false" outlineLevel="0" collapsed="false">
      <c r="A33" s="10" t="s">
        <v>83</v>
      </c>
      <c r="B33" s="10" t="s">
        <v>84</v>
      </c>
    </row>
    <row r="34" customFormat="false" ht="15" hidden="false" customHeight="false" outlineLevel="0" collapsed="false">
      <c r="A34" s="10" t="s">
        <v>85</v>
      </c>
      <c r="B34" s="10" t="s">
        <v>74</v>
      </c>
    </row>
    <row r="35" customFormat="false" ht="15" hidden="false" customHeight="false" outlineLevel="0" collapsed="false">
      <c r="A35" s="10" t="s">
        <v>74</v>
      </c>
      <c r="B35" s="10" t="s">
        <v>74</v>
      </c>
    </row>
    <row r="36" customFormat="false" ht="15" hidden="false" customHeight="false" outlineLevel="0" collapsed="false">
      <c r="A36" s="10" t="s">
        <v>86</v>
      </c>
      <c r="B36" s="10" t="s">
        <v>74</v>
      </c>
    </row>
    <row r="37" customFormat="false" ht="15" hidden="false" customHeight="false" outlineLevel="0" collapsed="false">
      <c r="A37" s="10" t="s">
        <v>87</v>
      </c>
      <c r="B37" s="10" t="s">
        <v>87</v>
      </c>
    </row>
    <row r="38" customFormat="false" ht="15" hidden="false" customHeight="false" outlineLevel="0" collapsed="false">
      <c r="A38" s="10" t="s">
        <v>88</v>
      </c>
      <c r="B38" s="10" t="s">
        <v>87</v>
      </c>
    </row>
    <row r="39" customFormat="false" ht="15" hidden="false" customHeight="false" outlineLevel="0" collapsed="false">
      <c r="A39" s="10" t="s">
        <v>76</v>
      </c>
      <c r="B39" s="10" t="s">
        <v>76</v>
      </c>
    </row>
    <row r="40" customFormat="false" ht="15" hidden="false" customHeight="false" outlineLevel="0" collapsed="false">
      <c r="A40" s="10" t="s">
        <v>89</v>
      </c>
      <c r="B40" s="10" t="s">
        <v>76</v>
      </c>
    </row>
    <row r="41" customFormat="false" ht="15" hidden="false" customHeight="false" outlineLevel="0" collapsed="false">
      <c r="A41" s="10" t="s">
        <v>90</v>
      </c>
      <c r="B41" s="10" t="s">
        <v>90</v>
      </c>
    </row>
    <row r="42" customFormat="false" ht="15" hidden="false" customHeight="false" outlineLevel="0" collapsed="false">
      <c r="A42" s="10" t="s">
        <v>91</v>
      </c>
      <c r="B42" s="10" t="s">
        <v>90</v>
      </c>
    </row>
    <row r="43" customFormat="false" ht="15" hidden="false" customHeight="false" outlineLevel="0" collapsed="false">
      <c r="A43" s="10" t="s">
        <v>92</v>
      </c>
      <c r="B43" s="10" t="s">
        <v>78</v>
      </c>
    </row>
    <row r="44" customFormat="false" ht="15" hidden="false" customHeight="false" outlineLevel="0" collapsed="false">
      <c r="A44" s="10" t="s">
        <v>78</v>
      </c>
      <c r="B44" s="10" t="s">
        <v>78</v>
      </c>
    </row>
    <row r="45" customFormat="false" ht="15" hidden="false" customHeight="false" outlineLevel="0" collapsed="false">
      <c r="A45" s="10" t="s">
        <v>93</v>
      </c>
      <c r="B45" s="10" t="s">
        <v>78</v>
      </c>
    </row>
    <row r="46" customFormat="false" ht="15" hidden="false" customHeight="false" outlineLevel="0" collapsed="false">
      <c r="A46" s="10" t="s">
        <v>80</v>
      </c>
      <c r="B46" s="10" t="s">
        <v>80</v>
      </c>
    </row>
    <row r="47" customFormat="false" ht="15" hidden="false" customHeight="false" outlineLevel="0" collapsed="false">
      <c r="A47" s="10" t="s">
        <v>94</v>
      </c>
      <c r="B47" s="10" t="s">
        <v>80</v>
      </c>
    </row>
    <row r="48" customFormat="false" ht="15" hidden="false" customHeight="false" outlineLevel="0" collapsed="false">
      <c r="A48" s="10" t="s">
        <v>95</v>
      </c>
      <c r="B48" s="10" t="s">
        <v>82</v>
      </c>
    </row>
    <row r="49" customFormat="false" ht="15" hidden="false" customHeight="false" outlineLevel="0" collapsed="false">
      <c r="A49" s="10" t="s">
        <v>82</v>
      </c>
      <c r="B49" s="10" t="s">
        <v>82</v>
      </c>
    </row>
    <row r="50" customFormat="false" ht="15" hidden="false" customHeight="false" outlineLevel="0" collapsed="false">
      <c r="A50" s="10" t="s">
        <v>84</v>
      </c>
      <c r="B50" s="10" t="s">
        <v>84</v>
      </c>
    </row>
    <row r="51" customFormat="false" ht="15" hidden="false" customHeight="false" outlineLevel="0" collapsed="false">
      <c r="A51" s="10" t="s">
        <v>96</v>
      </c>
      <c r="B51" s="10" t="s">
        <v>84</v>
      </c>
    </row>
    <row r="52" customFormat="false" ht="15" hidden="false" customHeight="false" outlineLevel="0" collapsed="false">
      <c r="A52" s="10" t="s">
        <v>97</v>
      </c>
      <c r="B52" s="10" t="s">
        <v>97</v>
      </c>
    </row>
    <row r="53" customFormat="false" ht="15" hidden="false" customHeight="false" outlineLevel="0" collapsed="false">
      <c r="A53" s="10" t="s">
        <v>98</v>
      </c>
      <c r="B53" s="10" t="s">
        <v>99</v>
      </c>
    </row>
    <row r="54" customFormat="false" ht="15" hidden="false" customHeight="false" outlineLevel="0" collapsed="false">
      <c r="A54" s="10" t="s">
        <v>100</v>
      </c>
      <c r="B54" s="10" t="s">
        <v>101</v>
      </c>
    </row>
    <row r="55" customFormat="false" ht="15" hidden="false" customHeight="false" outlineLevel="0" collapsed="false">
      <c r="A55" s="10" t="s">
        <v>102</v>
      </c>
      <c r="B55" s="10" t="s">
        <v>99</v>
      </c>
    </row>
    <row r="56" customFormat="false" ht="15" hidden="false" customHeight="false" outlineLevel="0" collapsed="false">
      <c r="A56" s="10" t="s">
        <v>103</v>
      </c>
      <c r="B56" s="10" t="s">
        <v>99</v>
      </c>
    </row>
    <row r="57" customFormat="false" ht="15" hidden="false" customHeight="false" outlineLevel="0" collapsed="false">
      <c r="A57" s="10" t="s">
        <v>99</v>
      </c>
      <c r="B57" s="10" t="s">
        <v>99</v>
      </c>
    </row>
    <row r="58" customFormat="false" ht="15" hidden="false" customHeight="false" outlineLevel="0" collapsed="false">
      <c r="A58" s="10" t="s">
        <v>104</v>
      </c>
      <c r="B58" s="10" t="s">
        <v>101</v>
      </c>
    </row>
    <row r="59" customFormat="false" ht="15" hidden="false" customHeight="false" outlineLevel="0" collapsed="false">
      <c r="A59" s="10" t="s">
        <v>101</v>
      </c>
      <c r="B59" s="10" t="s">
        <v>101</v>
      </c>
    </row>
    <row r="60" customFormat="false" ht="15" hidden="false" customHeight="false" outlineLevel="0" collapsed="false">
      <c r="A60" s="10" t="s">
        <v>105</v>
      </c>
      <c r="B60" s="10" t="s">
        <v>101</v>
      </c>
    </row>
    <row r="61" customFormat="false" ht="15" hidden="false" customHeight="false" outlineLevel="0" collapsed="false">
      <c r="A61" s="10" t="s">
        <v>106</v>
      </c>
      <c r="B61" s="10" t="s">
        <v>107</v>
      </c>
    </row>
    <row r="62" customFormat="false" ht="15" hidden="false" customHeight="false" outlineLevel="0" collapsed="false">
      <c r="A62" s="10" t="s">
        <v>108</v>
      </c>
      <c r="B62" s="10" t="s">
        <v>107</v>
      </c>
    </row>
    <row r="63" customFormat="false" ht="15" hidden="false" customHeight="false" outlineLevel="0" collapsed="false">
      <c r="A63" s="10" t="s">
        <v>107</v>
      </c>
      <c r="B63" s="10" t="s">
        <v>107</v>
      </c>
    </row>
    <row r="64" customFormat="false" ht="15" hidden="false" customHeight="false" outlineLevel="0" collapsed="false">
      <c r="A64" s="10" t="s">
        <v>109</v>
      </c>
      <c r="B64" s="10" t="s">
        <v>107</v>
      </c>
    </row>
    <row r="65" customFormat="false" ht="15" hidden="false" customHeight="false" outlineLevel="0" collapsed="false">
      <c r="A65" s="10" t="s">
        <v>110</v>
      </c>
      <c r="B65" s="10" t="s">
        <v>111</v>
      </c>
    </row>
    <row r="66" customFormat="false" ht="15" hidden="false" customHeight="false" outlineLevel="0" collapsed="false">
      <c r="A66" s="10" t="s">
        <v>112</v>
      </c>
      <c r="B66" s="10" t="s">
        <v>113</v>
      </c>
    </row>
    <row r="67" customFormat="false" ht="15" hidden="false" customHeight="false" outlineLevel="0" collapsed="false">
      <c r="A67" s="10" t="s">
        <v>114</v>
      </c>
      <c r="B67" s="10" t="s">
        <v>111</v>
      </c>
    </row>
    <row r="68" customFormat="false" ht="15" hidden="false" customHeight="false" outlineLevel="0" collapsed="false">
      <c r="A68" s="10" t="s">
        <v>111</v>
      </c>
      <c r="B68" s="10" t="s">
        <v>111</v>
      </c>
    </row>
    <row r="69" customFormat="false" ht="15" hidden="false" customHeight="false" outlineLevel="0" collapsed="false">
      <c r="A69" s="10" t="s">
        <v>115</v>
      </c>
      <c r="B69" s="10" t="s">
        <v>111</v>
      </c>
    </row>
    <row r="70" customFormat="false" ht="15" hidden="false" customHeight="false" outlineLevel="0" collapsed="false">
      <c r="A70" s="10" t="s">
        <v>116</v>
      </c>
      <c r="B70" s="10" t="s">
        <v>113</v>
      </c>
    </row>
    <row r="71" customFormat="false" ht="15" hidden="false" customHeight="false" outlineLevel="0" collapsed="false">
      <c r="A71" s="10" t="s">
        <v>113</v>
      </c>
      <c r="B71" s="10" t="s">
        <v>113</v>
      </c>
    </row>
    <row r="72" customFormat="false" ht="15" hidden="false" customHeight="false" outlineLevel="0" collapsed="false">
      <c r="A72" s="10" t="s">
        <v>117</v>
      </c>
      <c r="B72" s="10" t="s">
        <v>113</v>
      </c>
    </row>
    <row r="73" customFormat="false" ht="15" hidden="false" customHeight="false" outlineLevel="0" collapsed="false">
      <c r="A73" s="10" t="s">
        <v>118</v>
      </c>
      <c r="B73" s="10" t="s">
        <v>119</v>
      </c>
    </row>
    <row r="74" customFormat="false" ht="15" hidden="false" customHeight="false" outlineLevel="0" collapsed="false">
      <c r="A74" s="10" t="s">
        <v>120</v>
      </c>
      <c r="B74" s="10" t="s">
        <v>121</v>
      </c>
    </row>
    <row r="75" customFormat="false" ht="15" hidden="false" customHeight="false" outlineLevel="0" collapsed="false">
      <c r="A75" s="10" t="s">
        <v>122</v>
      </c>
      <c r="B75" s="10" t="s">
        <v>119</v>
      </c>
    </row>
    <row r="76" customFormat="false" ht="15" hidden="false" customHeight="false" outlineLevel="0" collapsed="false">
      <c r="A76" s="10" t="s">
        <v>119</v>
      </c>
      <c r="B76" s="10" t="s">
        <v>119</v>
      </c>
    </row>
    <row r="77" customFormat="false" ht="15" hidden="false" customHeight="false" outlineLevel="0" collapsed="false">
      <c r="A77" s="10" t="s">
        <v>123</v>
      </c>
      <c r="B77" s="10" t="s">
        <v>119</v>
      </c>
    </row>
    <row r="78" customFormat="false" ht="15" hidden="false" customHeight="false" outlineLevel="0" collapsed="false">
      <c r="A78" s="10" t="s">
        <v>124</v>
      </c>
      <c r="B78" s="10" t="s">
        <v>121</v>
      </c>
    </row>
    <row r="79" customFormat="false" ht="15" hidden="false" customHeight="false" outlineLevel="0" collapsed="false">
      <c r="A79" s="10" t="s">
        <v>121</v>
      </c>
      <c r="B79" s="10" t="s">
        <v>121</v>
      </c>
    </row>
    <row r="80" customFormat="false" ht="15" hidden="false" customHeight="false" outlineLevel="0" collapsed="false">
      <c r="A80" s="10" t="s">
        <v>125</v>
      </c>
      <c r="B80" s="10" t="s">
        <v>121</v>
      </c>
    </row>
    <row r="81" customFormat="false" ht="15" hidden="false" customHeight="false" outlineLevel="0" collapsed="false">
      <c r="A81" s="10" t="s">
        <v>126</v>
      </c>
      <c r="B81" s="10" t="s">
        <v>126</v>
      </c>
    </row>
    <row r="82" customFormat="false" ht="15" hidden="false" customHeight="false" outlineLevel="0" collapsed="false">
      <c r="A82" s="10" t="s">
        <v>127</v>
      </c>
      <c r="B82" s="10" t="s">
        <v>126</v>
      </c>
    </row>
    <row r="83" customFormat="false" ht="15" hidden="false" customHeight="false" outlineLevel="0" collapsed="false">
      <c r="A83" s="10" t="s">
        <v>128</v>
      </c>
      <c r="B83" s="10" t="s">
        <v>129</v>
      </c>
    </row>
    <row r="84" customFormat="false" ht="15" hidden="false" customHeight="false" outlineLevel="0" collapsed="false">
      <c r="A84" s="10" t="s">
        <v>129</v>
      </c>
      <c r="B84" s="10" t="s">
        <v>129</v>
      </c>
    </row>
    <row r="85" customFormat="false" ht="15" hidden="false" customHeight="false" outlineLevel="0" collapsed="false">
      <c r="A85" s="10" t="s">
        <v>130</v>
      </c>
      <c r="B85" s="10" t="s">
        <v>131</v>
      </c>
    </row>
    <row r="86" customFormat="false" ht="15" hidden="false" customHeight="false" outlineLevel="0" collapsed="false">
      <c r="A86" s="10" t="s">
        <v>132</v>
      </c>
      <c r="B86" s="10" t="s">
        <v>133</v>
      </c>
    </row>
    <row r="87" customFormat="false" ht="15" hidden="false" customHeight="false" outlineLevel="0" collapsed="false">
      <c r="A87" s="10" t="s">
        <v>133</v>
      </c>
      <c r="B87" s="10" t="s">
        <v>133</v>
      </c>
    </row>
    <row r="88" customFormat="false" ht="15" hidden="false" customHeight="false" outlineLevel="0" collapsed="false">
      <c r="A88" s="10" t="s">
        <v>134</v>
      </c>
      <c r="B88" s="10" t="s">
        <v>131</v>
      </c>
    </row>
    <row r="89" customFormat="false" ht="15" hidden="false" customHeight="false" outlineLevel="0" collapsed="false">
      <c r="A89" s="10" t="s">
        <v>131</v>
      </c>
      <c r="B89" s="10" t="s">
        <v>131</v>
      </c>
    </row>
    <row r="90" customFormat="false" ht="15" hidden="false" customHeight="false" outlineLevel="0" collapsed="false">
      <c r="A90" s="10" t="s">
        <v>135</v>
      </c>
      <c r="B90" s="10" t="s">
        <v>135</v>
      </c>
    </row>
    <row r="91" customFormat="false" ht="15" hidden="false" customHeight="false" outlineLevel="0" collapsed="false">
      <c r="A91" s="10" t="s">
        <v>136</v>
      </c>
      <c r="B91" s="10" t="s">
        <v>135</v>
      </c>
    </row>
    <row r="92" customFormat="false" ht="15" hidden="false" customHeight="false" outlineLevel="0" collapsed="false">
      <c r="A92" s="10" t="s">
        <v>137</v>
      </c>
      <c r="B92" s="10" t="s">
        <v>138</v>
      </c>
    </row>
    <row r="93" customFormat="false" ht="15" hidden="false" customHeight="false" outlineLevel="0" collapsed="false">
      <c r="A93" s="10" t="s">
        <v>139</v>
      </c>
      <c r="B93" s="10" t="s">
        <v>138</v>
      </c>
    </row>
    <row r="94" customFormat="false" ht="15" hidden="false" customHeight="false" outlineLevel="0" collapsed="false">
      <c r="A94" s="10" t="s">
        <v>138</v>
      </c>
      <c r="B94" s="10" t="s">
        <v>138</v>
      </c>
    </row>
    <row r="95" customFormat="false" ht="15" hidden="false" customHeight="false" outlineLevel="0" collapsed="false">
      <c r="A95" s="10" t="s">
        <v>140</v>
      </c>
      <c r="B95" s="10" t="s">
        <v>138</v>
      </c>
    </row>
    <row r="96" customFormat="false" ht="15" hidden="false" customHeight="false" outlineLevel="0" collapsed="false">
      <c r="A96" s="10" t="s">
        <v>141</v>
      </c>
      <c r="B96" s="10" t="s">
        <v>142</v>
      </c>
    </row>
    <row r="97" customFormat="false" ht="15" hidden="false" customHeight="false" outlineLevel="0" collapsed="false">
      <c r="A97" s="10" t="s">
        <v>143</v>
      </c>
      <c r="B97" s="10" t="s">
        <v>142</v>
      </c>
    </row>
    <row r="98" customFormat="false" ht="15" hidden="false" customHeight="false" outlineLevel="0" collapsed="false">
      <c r="A98" s="10" t="s">
        <v>142</v>
      </c>
      <c r="B98" s="10" t="s">
        <v>142</v>
      </c>
    </row>
    <row r="99" customFormat="false" ht="15" hidden="false" customHeight="false" outlineLevel="0" collapsed="false">
      <c r="A99" s="10" t="s">
        <v>144</v>
      </c>
      <c r="B99" s="10" t="s">
        <v>142</v>
      </c>
    </row>
    <row r="100" customFormat="false" ht="15" hidden="false" customHeight="false" outlineLevel="0" collapsed="false">
      <c r="A100" s="10" t="s">
        <v>145</v>
      </c>
      <c r="B100" s="10" t="s">
        <v>146</v>
      </c>
    </row>
    <row r="101" customFormat="false" ht="15" hidden="false" customHeight="false" outlineLevel="0" collapsed="false">
      <c r="A101" s="10" t="s">
        <v>146</v>
      </c>
      <c r="B101" s="10" t="s">
        <v>146</v>
      </c>
    </row>
    <row r="102" customFormat="false" ht="15" hidden="false" customHeight="false" outlineLevel="0" collapsed="false">
      <c r="A102" s="10" t="s">
        <v>147</v>
      </c>
      <c r="B102" s="10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6.15" hidden="false" customHeight="false" outlineLevel="0" collapsed="false">
      <c r="A1" s="6" t="s">
        <v>148</v>
      </c>
    </row>
    <row r="3" customFormat="false" ht="31.5" hidden="false" customHeight="true" outlineLevel="0" collapsed="false">
      <c r="A3" s="13" t="s">
        <v>149</v>
      </c>
      <c r="B3" s="13" t="s">
        <v>150</v>
      </c>
      <c r="C3" s="13" t="s">
        <v>151</v>
      </c>
      <c r="D3" s="13" t="s">
        <v>152</v>
      </c>
      <c r="E3" s="13" t="s">
        <v>153</v>
      </c>
      <c r="F3" s="13" t="s">
        <v>154</v>
      </c>
      <c r="G3" s="13" t="s">
        <v>155</v>
      </c>
    </row>
    <row r="4" customFormat="false" ht="15" hidden="false" customHeight="false" outlineLevel="0" collapsed="false">
      <c r="A4" s="14" t="s">
        <v>156</v>
      </c>
      <c r="B4" s="14" t="n">
        <f aca="false">SUMIFS(Raw_Data!$F$2:$F$307,Raw_Data!$C$2:$C$307,A4,Raw_Data!$O$2:$O$307,"Vehicles",Raw_Data!$N$2:$N$307,"Yes")</f>
        <v>361</v>
      </c>
      <c r="C4" s="14" t="n">
        <f aca="false">SUMIFS(Raw_Data!$F$2:$F$307,Raw_Data!$C$2:$C$307,A4,Raw_Data!$O$2:$O$307,"Vehicles")</f>
        <v>623</v>
      </c>
      <c r="D4" s="15" t="n">
        <f aca="false">IF(C4&gt;0,B4/C4,0)</f>
        <v>0.579454253611557</v>
      </c>
      <c r="E4" s="14" t="n">
        <f aca="false">SUMIFS(Raw_Data!$F$2:$F$307,Raw_Data!$C$2:$C$307,A4,Raw_Data!$O$2:$O$307,"H&amp;H",Raw_Data!$N$2:$N$307,"Yes")</f>
        <v>17</v>
      </c>
      <c r="F4" s="14" t="n">
        <f aca="false">SUMIFS(Raw_Data!$F$2:$F$307,Raw_Data!$C$2:$C$307,A4,Raw_Data!$O$2:$O$307,"H&amp;H")</f>
        <v>30</v>
      </c>
      <c r="G4" s="15" t="n">
        <f aca="false">IF(F4&gt;0,E4/F4,0)</f>
        <v>0.566666666666667</v>
      </c>
    </row>
    <row r="5" customFormat="false" ht="15" hidden="false" customHeight="false" outlineLevel="0" collapsed="false">
      <c r="A5" s="14" t="s">
        <v>157</v>
      </c>
      <c r="B5" s="14" t="n">
        <f aca="false">SUMIFS(Raw_Data!$F$2:$F$307,Raw_Data!$C$2:$C$307,A5,Raw_Data!$O$2:$O$307,"Vehicles",Raw_Data!$N$2:$N$307,"Yes")</f>
        <v>400</v>
      </c>
      <c r="C5" s="14" t="n">
        <f aca="false">SUMIFS(Raw_Data!$F$2:$F$307,Raw_Data!$C$2:$C$307,A5,Raw_Data!$O$2:$O$307,"Vehicles")</f>
        <v>564</v>
      </c>
      <c r="D5" s="15" t="n">
        <f aca="false">IF(C5&gt;0,B5/C5,0)</f>
        <v>0.709219858156028</v>
      </c>
      <c r="E5" s="14" t="n">
        <f aca="false">SUMIFS(Raw_Data!$F$2:$F$307,Raw_Data!$C$2:$C$307,A5,Raw_Data!$O$2:$O$307,"H&amp;H",Raw_Data!$N$2:$N$307,"Yes")</f>
        <v>14</v>
      </c>
      <c r="F5" s="14" t="n">
        <f aca="false">SUMIFS(Raw_Data!$F$2:$F$307,Raw_Data!$C$2:$C$307,A5,Raw_Data!$O$2:$O$307,"H&amp;H")</f>
        <v>49</v>
      </c>
      <c r="G5" s="15" t="n">
        <f aca="false">IF(F5&gt;0,E5/F5,0)</f>
        <v>0.285714285714286</v>
      </c>
    </row>
    <row r="6" customFormat="false" ht="15" hidden="false" customHeight="false" outlineLevel="0" collapsed="false">
      <c r="A6" s="14" t="s">
        <v>158</v>
      </c>
      <c r="B6" s="14" t="n">
        <f aca="false">SUMIFS(Raw_Data!$F$2:$F$307,Raw_Data!$C$2:$C$307,A6,Raw_Data!$O$2:$O$307,"Vehicles",Raw_Data!$N$2:$N$307,"Yes")</f>
        <v>429</v>
      </c>
      <c r="C6" s="14" t="n">
        <f aca="false">SUMIFS(Raw_Data!$F$2:$F$307,Raw_Data!$C$2:$C$307,A6,Raw_Data!$O$2:$O$307,"Vehicles")</f>
        <v>744</v>
      </c>
      <c r="D6" s="15" t="n">
        <f aca="false">IF(C6&gt;0,B6/C6,0)</f>
        <v>0.576612903225807</v>
      </c>
      <c r="E6" s="14" t="n">
        <f aca="false">SUMIFS(Raw_Data!$F$2:$F$307,Raw_Data!$C$2:$C$307,A6,Raw_Data!$O$2:$O$307,"H&amp;H",Raw_Data!$N$2:$N$307,"Yes")</f>
        <v>13</v>
      </c>
      <c r="F6" s="14" t="n">
        <f aca="false">SUMIFS(Raw_Data!$F$2:$F$307,Raw_Data!$C$2:$C$307,A6,Raw_Data!$O$2:$O$307,"H&amp;H")</f>
        <v>30</v>
      </c>
      <c r="G6" s="15" t="n">
        <f aca="false">IF(F6&gt;0,E6/F6,0)</f>
        <v>0.433333333333333</v>
      </c>
    </row>
    <row r="7" customFormat="false" ht="15" hidden="false" customHeight="false" outlineLevel="0" collapsed="false">
      <c r="A7" s="14" t="s">
        <v>159</v>
      </c>
      <c r="B7" s="14" t="n">
        <f aca="false">SUMIFS(Raw_Data!$F$2:$F$307,Raw_Data!$C$2:$C$307,A7,Raw_Data!$O$2:$O$307,"Vehicles",Raw_Data!$N$2:$N$307,"Yes")</f>
        <v>414</v>
      </c>
      <c r="C7" s="14" t="n">
        <f aca="false">SUMIFS(Raw_Data!$F$2:$F$307,Raw_Data!$C$2:$C$307,A7,Raw_Data!$O$2:$O$307,"Vehicles")</f>
        <v>600</v>
      </c>
      <c r="D7" s="15" t="n">
        <f aca="false">IF(C7&gt;0,B7/C7,0)</f>
        <v>0.69</v>
      </c>
      <c r="E7" s="14" t="n">
        <f aca="false">SUMIFS(Raw_Data!$F$2:$F$307,Raw_Data!$C$2:$C$307,A7,Raw_Data!$O$2:$O$307,"H&amp;H",Raw_Data!$N$2:$N$307,"Yes")</f>
        <v>20</v>
      </c>
      <c r="F7" s="14" t="n">
        <f aca="false">SUMIFS(Raw_Data!$F$2:$F$307,Raw_Data!$C$2:$C$307,A7,Raw_Data!$O$2:$O$307,"H&amp;H")</f>
        <v>41</v>
      </c>
      <c r="G7" s="15" t="n">
        <f aca="false">IF(F7&gt;0,E7/F7,0)</f>
        <v>0.487804878048781</v>
      </c>
    </row>
    <row r="8" customFormat="false" ht="15" hidden="false" customHeight="false" outlineLevel="0" collapsed="false">
      <c r="A8" s="14" t="s">
        <v>160</v>
      </c>
      <c r="B8" s="14" t="n">
        <f aca="false">SUMIFS(Raw_Data!$F$2:$F$307,Raw_Data!$C$2:$C$307,A8,Raw_Data!$O$2:$O$307,"Vehicles",Raw_Data!$N$2:$N$307,"Yes")</f>
        <v>440</v>
      </c>
      <c r="C8" s="14" t="n">
        <f aca="false">SUMIFS(Raw_Data!$F$2:$F$307,Raw_Data!$C$2:$C$307,A8,Raw_Data!$O$2:$O$307,"Vehicles")</f>
        <v>674</v>
      </c>
      <c r="D8" s="15" t="n">
        <f aca="false">IF(C8&gt;0,B8/C8,0)</f>
        <v>0.652818991097923</v>
      </c>
      <c r="E8" s="14" t="n">
        <f aca="false">SUMIFS(Raw_Data!$F$2:$F$307,Raw_Data!$C$2:$C$307,A8,Raw_Data!$O$2:$O$307,"H&amp;H",Raw_Data!$N$2:$N$307,"Yes")</f>
        <v>28</v>
      </c>
      <c r="F8" s="14" t="n">
        <f aca="false">SUMIFS(Raw_Data!$F$2:$F$307,Raw_Data!$C$2:$C$307,A8,Raw_Data!$O$2:$O$307,"H&amp;H")</f>
        <v>46</v>
      </c>
      <c r="G8" s="15" t="n">
        <f aca="false">IF(F8&gt;0,E8/F8,0)</f>
        <v>0.608695652173913</v>
      </c>
    </row>
    <row r="9" customFormat="false" ht="15" hidden="false" customHeight="false" outlineLevel="0" collapsed="false">
      <c r="A9" s="14" t="s">
        <v>161</v>
      </c>
      <c r="B9" s="14" t="n">
        <f aca="false">SUMIFS(Raw_Data!$F$2:$F$307,Raw_Data!$C$2:$C$307,A9,Raw_Data!$O$2:$O$307,"Vehicles",Raw_Data!$N$2:$N$307,"Yes")</f>
        <v>394</v>
      </c>
      <c r="C9" s="14" t="n">
        <f aca="false">SUMIFS(Raw_Data!$F$2:$F$307,Raw_Data!$C$2:$C$307,A9,Raw_Data!$O$2:$O$307,"Vehicles")</f>
        <v>654</v>
      </c>
      <c r="D9" s="15" t="n">
        <f aca="false">IF(C9&gt;0,B9/C9,0)</f>
        <v>0.602446483180428</v>
      </c>
      <c r="E9" s="14" t="n">
        <f aca="false">SUMIFS(Raw_Data!$F$2:$F$307,Raw_Data!$C$2:$C$307,A9,Raw_Data!$O$2:$O$307,"H&amp;H",Raw_Data!$N$2:$N$307,"Yes")</f>
        <v>33</v>
      </c>
      <c r="F9" s="14" t="n">
        <f aca="false">SUMIFS(Raw_Data!$F$2:$F$307,Raw_Data!$C$2:$C$307,A9,Raw_Data!$O$2:$O$307,"H&amp;H")</f>
        <v>40</v>
      </c>
      <c r="G9" s="15" t="n">
        <f aca="false">IF(F9&gt;0,E9/F9,0)</f>
        <v>0.825</v>
      </c>
    </row>
    <row r="10" customFormat="false" ht="15" hidden="false" customHeight="false" outlineLevel="0" collapsed="false">
      <c r="A10" s="16" t="s">
        <v>162</v>
      </c>
      <c r="B10" s="16" t="n">
        <f aca="false">SUM(B4:B9)</f>
        <v>2438</v>
      </c>
      <c r="C10" s="16" t="n">
        <f aca="false">SUM(C4:C9)</f>
        <v>3859</v>
      </c>
      <c r="D10" s="17" t="n">
        <f aca="false">IF(C10&gt;0,B10/C10,0)</f>
        <v>0.631769888572169</v>
      </c>
      <c r="E10" s="16" t="n">
        <f aca="false">SUM(E4:E9)</f>
        <v>125</v>
      </c>
      <c r="F10" s="16" t="n">
        <f aca="false">SUM(F4:F9)</f>
        <v>236</v>
      </c>
      <c r="G10" s="17" t="n">
        <f aca="false">IF(F10&gt;0,E10/F10,0)</f>
        <v>0.529661016949153</v>
      </c>
    </row>
    <row r="11" customFormat="false" ht="15" hidden="false" customHeight="false" outlineLevel="0" collapsed="false">
      <c r="A11" s="18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34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14"/>
  </cols>
  <sheetData>
    <row r="1" customFormat="false" ht="30" hidden="false" customHeight="true" outlineLevel="0" collapsed="false">
      <c r="A1" s="19" t="s">
        <v>164</v>
      </c>
      <c r="B1" s="19" t="s">
        <v>165</v>
      </c>
      <c r="C1" s="19" t="s">
        <v>149</v>
      </c>
      <c r="D1" s="19" t="s">
        <v>166</v>
      </c>
      <c r="E1" s="19" t="s">
        <v>25</v>
      </c>
      <c r="F1" s="19" t="s">
        <v>167</v>
      </c>
      <c r="G1" s="19" t="s">
        <v>168</v>
      </c>
      <c r="H1" s="19" t="s">
        <v>169</v>
      </c>
      <c r="I1" s="20" t="s">
        <v>170</v>
      </c>
      <c r="J1" s="20" t="s">
        <v>171</v>
      </c>
      <c r="K1" s="20" t="s">
        <v>172</v>
      </c>
      <c r="L1" s="20" t="s">
        <v>173</v>
      </c>
      <c r="M1" s="20" t="s">
        <v>174</v>
      </c>
      <c r="N1" s="20" t="s">
        <v>175</v>
      </c>
      <c r="O1" s="20" t="s">
        <v>176</v>
      </c>
      <c r="P1" s="20" t="s">
        <v>177</v>
      </c>
    </row>
    <row r="2" customFormat="false" ht="15" hidden="false" customHeight="false" outlineLevel="0" collapsed="false">
      <c r="A2" s="10" t="s">
        <v>178</v>
      </c>
      <c r="B2" s="21" t="n">
        <v>45658</v>
      </c>
      <c r="C2" s="10" t="s">
        <v>156</v>
      </c>
      <c r="D2" s="10" t="s">
        <v>50</v>
      </c>
      <c r="E2" s="10" t="n">
        <v>8703</v>
      </c>
      <c r="F2" s="22" t="n">
        <v>21</v>
      </c>
      <c r="G2" s="22" t="n">
        <v>34512</v>
      </c>
      <c r="H2" s="10" t="s">
        <v>41</v>
      </c>
      <c r="I2" s="10" t="str">
        <f aca="false">IFERROR(VLOOKUP(E2,Parameters!$G$6:$H$15,2,FALSE()),"")</f>
        <v>Passenger cars</v>
      </c>
      <c r="J2" s="10" t="str">
        <f aca="false">IFERROR(INDEX(Name_Map!$B$2:$B$102,MATCH(D2,Name_Map!$A$2:$A$102,0)),D2)</f>
        <v>Andes Motor Group S.A.</v>
      </c>
      <c r="K2" s="22" t="n">
        <f aca="false">IF(F2&gt;0,G2/F2,0)</f>
        <v>1643.42857142857</v>
      </c>
      <c r="L2" s="10" t="str">
        <f aca="false">IF(AND(COUNTIFS($A$2:$A$307,A2,$E$2:$E$307,E2)&gt;1,COUNTIFS($A$2:$A$307,A2,$E$2:$E$307,E2,$G$2:$G$307,G2)=COUNTIFS($A$2:$A$307,A2,$E$2:$E$307,E2)),"CHECK","OK")</f>
        <v>OK</v>
      </c>
      <c r="M2" s="22" t="n">
        <f aca="false">IF(L2="CHECK",G2/SUMIFS($F$2:$F$307,$A$2:$A$307,A2,$E$2:$E$307,E2),K2)</f>
        <v>1643.42857142857</v>
      </c>
      <c r="N2" s="10" t="str">
        <f aca="false">IF(COUNTIF(Parameters!$E$6:$E$13,H2)&gt;0,"Yes","No")</f>
        <v>Yes</v>
      </c>
      <c r="O2" s="10" t="str">
        <f aca="false">IF(M2&lt;=Parameters!$B$3,IF(COUNTIF(Parameters!$A$6:$A$7,E2)&gt;0,"Vehicles","Out of scope"),IF(COUNTIF(Parameters!$C$6:$C$14,E2)&gt;0,"H&amp;H","Out of scope"))</f>
        <v>Vehicles</v>
      </c>
      <c r="P2" s="22" t="n">
        <f aca="false">M2*F2</f>
        <v>34512</v>
      </c>
    </row>
    <row r="3" customFormat="false" ht="15" hidden="false" customHeight="false" outlineLevel="0" collapsed="false">
      <c r="A3" s="10" t="s">
        <v>179</v>
      </c>
      <c r="B3" s="21" t="n">
        <v>45659</v>
      </c>
      <c r="C3" s="10" t="s">
        <v>161</v>
      </c>
      <c r="D3" s="10" t="s">
        <v>73</v>
      </c>
      <c r="E3" s="10" t="n">
        <v>8704</v>
      </c>
      <c r="F3" s="22" t="n">
        <v>36</v>
      </c>
      <c r="G3" s="22" t="n">
        <v>204293</v>
      </c>
      <c r="H3" s="10" t="s">
        <v>180</v>
      </c>
      <c r="I3" s="10" t="str">
        <f aca="false">IFERROR(VLOOKUP(E3,Parameters!$G$6:$H$15,2,FALSE()),"")</f>
        <v>Goods vehicles (trucks)</v>
      </c>
      <c r="J3" s="10" t="str">
        <f aca="false">IFERROR(INDEX(Name_Map!$B$2:$B$102,MATCH(D3,Name_Map!$A$2:$A$102,0)),D3)</f>
        <v>Canal Autos S.A.</v>
      </c>
      <c r="K3" s="22" t="n">
        <f aca="false">IF(F3&gt;0,G3/F3,0)</f>
        <v>5674.80555555556</v>
      </c>
      <c r="L3" s="10" t="str">
        <f aca="false">IF(AND(COUNTIFS($A$2:$A$307,A3,$E$2:$E$307,E3)&gt;1,COUNTIFS($A$2:$A$307,A3,$E$2:$E$307,E3,$G$2:$G$307,G3)=COUNTIFS($A$2:$A$307,A3,$E$2:$E$307,E3)),"CHECK","OK")</f>
        <v>OK</v>
      </c>
      <c r="M3" s="22" t="n">
        <f aca="false">IF(L3="CHECK",G3/SUMIFS($F$2:$F$307,$A$2:$A$307,A3,$E$2:$E$307,E3),K3)</f>
        <v>5674.80555555556</v>
      </c>
      <c r="N3" s="10" t="str">
        <f aca="false">IF(COUNTIF(Parameters!$E$6:$E$13,H3)&gt;0,"Yes","No")</f>
        <v>No</v>
      </c>
      <c r="O3" s="10" t="str">
        <f aca="false">IF(M3&lt;=Parameters!$B$3,IF(COUNTIF(Parameters!$A$6:$A$7,E3)&gt;0,"Vehicles","Out of scope"),IF(COUNTIF(Parameters!$C$6:$C$14,E3)&gt;0,"H&amp;H","Out of scope"))</f>
        <v>Vehicles</v>
      </c>
      <c r="P3" s="22" t="n">
        <f aca="false">M3*F3</f>
        <v>204293</v>
      </c>
    </row>
    <row r="4" customFormat="false" ht="15" hidden="false" customHeight="false" outlineLevel="0" collapsed="false">
      <c r="A4" s="10" t="s">
        <v>179</v>
      </c>
      <c r="B4" s="21" t="n">
        <v>45659</v>
      </c>
      <c r="C4" s="10" t="s">
        <v>161</v>
      </c>
      <c r="D4" s="10" t="s">
        <v>74</v>
      </c>
      <c r="E4" s="10" t="n">
        <v>8703</v>
      </c>
      <c r="F4" s="22" t="n">
        <v>31</v>
      </c>
      <c r="G4" s="22" t="n">
        <v>57622</v>
      </c>
      <c r="H4" s="10" t="s">
        <v>180</v>
      </c>
      <c r="I4" s="10" t="str">
        <f aca="false">IFERROR(VLOOKUP(E4,Parameters!$G$6:$H$15,2,FALSE()),"")</f>
        <v>Passenger cars</v>
      </c>
      <c r="J4" s="10" t="str">
        <f aca="false">IFERROR(INDEX(Name_Map!$B$2:$B$102,MATCH(D4,Name_Map!$A$2:$A$102,0)),D4)</f>
        <v>Canal Autos S.A.</v>
      </c>
      <c r="K4" s="22" t="n">
        <f aca="false">IF(F4&gt;0,G4/F4,0)</f>
        <v>1858.77419354839</v>
      </c>
      <c r="L4" s="10" t="str">
        <f aca="false">IF(AND(COUNTIFS($A$2:$A$307,A4,$E$2:$E$307,E4)&gt;1,COUNTIFS($A$2:$A$307,A4,$E$2:$E$307,E4,$G$2:$G$307,G4)=COUNTIFS($A$2:$A$307,A4,$E$2:$E$307,E4)),"CHECK","OK")</f>
        <v>OK</v>
      </c>
      <c r="M4" s="22" t="n">
        <f aca="false">IF(L4="CHECK",G4/SUMIFS($F$2:$F$307,$A$2:$A$307,A4,$E$2:$E$307,E4),K4)</f>
        <v>1858.77419354839</v>
      </c>
      <c r="N4" s="10" t="str">
        <f aca="false">IF(COUNTIF(Parameters!$E$6:$E$13,H4)&gt;0,"Yes","No")</f>
        <v>No</v>
      </c>
      <c r="O4" s="10" t="str">
        <f aca="false">IF(M4&lt;=Parameters!$B$3,IF(COUNTIF(Parameters!$A$6:$A$7,E4)&gt;0,"Vehicles","Out of scope"),IF(COUNTIF(Parameters!$C$6:$C$14,E4)&gt;0,"H&amp;H","Out of scope"))</f>
        <v>Vehicles</v>
      </c>
      <c r="P4" s="22" t="n">
        <f aca="false">M4*F4</f>
        <v>57622</v>
      </c>
    </row>
    <row r="5" customFormat="false" ht="15" hidden="false" customHeight="false" outlineLevel="0" collapsed="false">
      <c r="A5" s="10" t="s">
        <v>181</v>
      </c>
      <c r="B5" s="21" t="n">
        <v>45665</v>
      </c>
      <c r="C5" s="10" t="s">
        <v>156</v>
      </c>
      <c r="D5" s="10" t="s">
        <v>82</v>
      </c>
      <c r="E5" s="10" t="n">
        <v>8429</v>
      </c>
      <c r="F5" s="22" t="n">
        <v>4</v>
      </c>
      <c r="G5" s="22" t="n">
        <v>167149</v>
      </c>
      <c r="H5" s="10" t="s">
        <v>182</v>
      </c>
      <c r="I5" s="10" t="str">
        <f aca="false">IFERROR(VLOOKUP(E5,Parameters!$G$6:$H$15,2,FALSE()),"")</f>
        <v>Bulldozers / excavators / loaders</v>
      </c>
      <c r="J5" s="10" t="str">
        <f aca="false">IFERROR(INDEX(Name_Map!$B$2:$B$102,MATCH(D5,Name_Map!$A$2:$A$102,0)),D5)</f>
        <v>Cordillera Maquinarias SpA</v>
      </c>
      <c r="K5" s="22" t="n">
        <f aca="false">IF(F5&gt;0,G5/F5,0)</f>
        <v>41787.25</v>
      </c>
      <c r="L5" s="10" t="str">
        <f aca="false">IF(AND(COUNTIFS($A$2:$A$307,A5,$E$2:$E$307,E5)&gt;1,COUNTIFS($A$2:$A$307,A5,$E$2:$E$307,E5,$G$2:$G$307,G5)=COUNTIFS($A$2:$A$307,A5,$E$2:$E$307,E5)),"CHECK","OK")</f>
        <v>OK</v>
      </c>
      <c r="M5" s="22" t="n">
        <f aca="false">IF(L5="CHECK",G5/SUMIFS($F$2:$F$307,$A$2:$A$307,A5,$E$2:$E$307,E5),K5)</f>
        <v>41787.25</v>
      </c>
      <c r="N5" s="10" t="str">
        <f aca="false">IF(COUNTIF(Parameters!$E$6:$E$13,H5)&gt;0,"Yes","No")</f>
        <v>No</v>
      </c>
      <c r="O5" s="10" t="str">
        <f aca="false">IF(M5&lt;=Parameters!$B$3,IF(COUNTIF(Parameters!$A$6:$A$7,E5)&gt;0,"Vehicles","Out of scope"),IF(COUNTIF(Parameters!$C$6:$C$14,E5)&gt;0,"H&amp;H","Out of scope"))</f>
        <v>H&amp;H</v>
      </c>
      <c r="P5" s="22" t="n">
        <f aca="false">M5*F5</f>
        <v>167149</v>
      </c>
    </row>
    <row r="6" customFormat="false" ht="15" hidden="false" customHeight="false" outlineLevel="0" collapsed="false">
      <c r="A6" s="10" t="s">
        <v>183</v>
      </c>
      <c r="B6" s="21" t="n">
        <v>45665</v>
      </c>
      <c r="C6" s="10" t="s">
        <v>161</v>
      </c>
      <c r="D6" s="10" t="s">
        <v>73</v>
      </c>
      <c r="E6" s="10" t="n">
        <v>8704</v>
      </c>
      <c r="F6" s="22" t="n">
        <v>14</v>
      </c>
      <c r="G6" s="22" t="n">
        <v>50999</v>
      </c>
      <c r="H6" s="10" t="s">
        <v>182</v>
      </c>
      <c r="I6" s="10" t="str">
        <f aca="false">IFERROR(VLOOKUP(E6,Parameters!$G$6:$H$15,2,FALSE()),"")</f>
        <v>Goods vehicles (trucks)</v>
      </c>
      <c r="J6" s="10" t="str">
        <f aca="false">IFERROR(INDEX(Name_Map!$B$2:$B$102,MATCH(D6,Name_Map!$A$2:$A$102,0)),D6)</f>
        <v>Canal Autos S.A.</v>
      </c>
      <c r="K6" s="22" t="n">
        <f aca="false">IF(F6&gt;0,G6/F6,0)</f>
        <v>3642.78571428571</v>
      </c>
      <c r="L6" s="10" t="str">
        <f aca="false">IF(AND(COUNTIFS($A$2:$A$307,A6,$E$2:$E$307,E6)&gt;1,COUNTIFS($A$2:$A$307,A6,$E$2:$E$307,E6,$G$2:$G$307,G6)=COUNTIFS($A$2:$A$307,A6,$E$2:$E$307,E6)),"CHECK","OK")</f>
        <v>OK</v>
      </c>
      <c r="M6" s="22" t="n">
        <f aca="false">IF(L6="CHECK",G6/SUMIFS($F$2:$F$307,$A$2:$A$307,A6,$E$2:$E$307,E6),K6)</f>
        <v>3642.78571428571</v>
      </c>
      <c r="N6" s="10" t="str">
        <f aca="false">IF(COUNTIF(Parameters!$E$6:$E$13,H6)&gt;0,"Yes","No")</f>
        <v>No</v>
      </c>
      <c r="O6" s="10" t="str">
        <f aca="false">IF(M6&lt;=Parameters!$B$3,IF(COUNTIF(Parameters!$A$6:$A$7,E6)&gt;0,"Vehicles","Out of scope"),IF(COUNTIF(Parameters!$C$6:$C$14,E6)&gt;0,"H&amp;H","Out of scope"))</f>
        <v>Vehicles</v>
      </c>
      <c r="P6" s="22" t="n">
        <f aca="false">M6*F6</f>
        <v>50999</v>
      </c>
    </row>
    <row r="7" customFormat="false" ht="15" hidden="false" customHeight="false" outlineLevel="0" collapsed="false">
      <c r="A7" s="10" t="s">
        <v>183</v>
      </c>
      <c r="B7" s="21" t="n">
        <v>45665</v>
      </c>
      <c r="C7" s="10" t="s">
        <v>161</v>
      </c>
      <c r="D7" s="10" t="s">
        <v>74</v>
      </c>
      <c r="E7" s="10" t="n">
        <v>8703</v>
      </c>
      <c r="F7" s="22" t="n">
        <v>29</v>
      </c>
      <c r="G7" s="22" t="n">
        <v>63996</v>
      </c>
      <c r="H7" s="10" t="s">
        <v>182</v>
      </c>
      <c r="I7" s="10" t="str">
        <f aca="false">IFERROR(VLOOKUP(E7,Parameters!$G$6:$H$15,2,FALSE()),"")</f>
        <v>Passenger cars</v>
      </c>
      <c r="J7" s="10" t="str">
        <f aca="false">IFERROR(INDEX(Name_Map!$B$2:$B$102,MATCH(D7,Name_Map!$A$2:$A$102,0)),D7)</f>
        <v>Canal Autos S.A.</v>
      </c>
      <c r="K7" s="22" t="n">
        <f aca="false">IF(F7&gt;0,G7/F7,0)</f>
        <v>2206.75862068966</v>
      </c>
      <c r="L7" s="10" t="str">
        <f aca="false">IF(AND(COUNTIFS($A$2:$A$307,A7,$E$2:$E$307,E7)&gt;1,COUNTIFS($A$2:$A$307,A7,$E$2:$E$307,E7,$G$2:$G$307,G7)=COUNTIFS($A$2:$A$307,A7,$E$2:$E$307,E7)),"CHECK","OK")</f>
        <v>OK</v>
      </c>
      <c r="M7" s="22" t="n">
        <f aca="false">IF(L7="CHECK",G7/SUMIFS($F$2:$F$307,$A$2:$A$307,A7,$E$2:$E$307,E7),K7)</f>
        <v>2206.75862068966</v>
      </c>
      <c r="N7" s="10" t="str">
        <f aca="false">IF(COUNTIF(Parameters!$E$6:$E$13,H7)&gt;0,"Yes","No")</f>
        <v>No</v>
      </c>
      <c r="O7" s="10" t="str">
        <f aca="false">IF(M7&lt;=Parameters!$B$3,IF(COUNTIF(Parameters!$A$6:$A$7,E7)&gt;0,"Vehicles","Out of scope"),IF(COUNTIF(Parameters!$C$6:$C$14,E7)&gt;0,"H&amp;H","Out of scope"))</f>
        <v>Vehicles</v>
      </c>
      <c r="P7" s="22" t="n">
        <f aca="false">M7*F7</f>
        <v>63996</v>
      </c>
    </row>
    <row r="8" customFormat="false" ht="15" hidden="false" customHeight="false" outlineLevel="0" collapsed="false">
      <c r="A8" s="10" t="s">
        <v>184</v>
      </c>
      <c r="B8" s="21" t="n">
        <v>45670</v>
      </c>
      <c r="C8" s="10" t="s">
        <v>157</v>
      </c>
      <c r="D8" s="10" t="s">
        <v>69</v>
      </c>
      <c r="E8" s="10" t="n">
        <v>8703</v>
      </c>
      <c r="F8" s="22" t="n">
        <v>28</v>
      </c>
      <c r="G8" s="22" t="n">
        <v>68381</v>
      </c>
      <c r="H8" s="10" t="s">
        <v>41</v>
      </c>
      <c r="I8" s="10" t="str">
        <f aca="false">IFERROR(VLOOKUP(E8,Parameters!$G$6:$H$15,2,FALSE()),"")</f>
        <v>Passenger cars</v>
      </c>
      <c r="J8" s="10" t="str">
        <f aca="false">IFERROR(INDEX(Name_Map!$B$2:$B$102,MATCH(D8,Name_Map!$A$2:$A$102,0)),D8)</f>
        <v>Bogota Car Import S.A.S.</v>
      </c>
      <c r="K8" s="22" t="n">
        <f aca="false">IF(F8&gt;0,G8/F8,0)</f>
        <v>2442.17857142857</v>
      </c>
      <c r="L8" s="10" t="str">
        <f aca="false">IF(AND(COUNTIFS($A$2:$A$307,A8,$E$2:$E$307,E8)&gt;1,COUNTIFS($A$2:$A$307,A8,$E$2:$E$307,E8,$G$2:$G$307,G8)=COUNTIFS($A$2:$A$307,A8,$E$2:$E$307,E8)),"CHECK","OK")</f>
        <v>OK</v>
      </c>
      <c r="M8" s="22" t="n">
        <f aca="false">IF(L8="CHECK",G8/SUMIFS($F$2:$F$307,$A$2:$A$307,A8,$E$2:$E$307,E8),K8)</f>
        <v>2442.17857142857</v>
      </c>
      <c r="N8" s="10" t="str">
        <f aca="false">IF(COUNTIF(Parameters!$E$6:$E$13,H8)&gt;0,"Yes","No")</f>
        <v>Yes</v>
      </c>
      <c r="O8" s="10" t="str">
        <f aca="false">IF(M8&lt;=Parameters!$B$3,IF(COUNTIF(Parameters!$A$6:$A$7,E8)&gt;0,"Vehicles","Out of scope"),IF(COUNTIF(Parameters!$C$6:$C$14,E8)&gt;0,"H&amp;H","Out of scope"))</f>
        <v>Vehicles</v>
      </c>
      <c r="P8" s="22" t="n">
        <f aca="false">M8*F8</f>
        <v>68381</v>
      </c>
    </row>
    <row r="9" customFormat="false" ht="15" hidden="false" customHeight="false" outlineLevel="0" collapsed="false">
      <c r="A9" s="10" t="s">
        <v>185</v>
      </c>
      <c r="B9" s="21" t="n">
        <v>45676</v>
      </c>
      <c r="C9" s="10" t="s">
        <v>156</v>
      </c>
      <c r="D9" s="10" t="s">
        <v>56</v>
      </c>
      <c r="E9" s="10" t="n">
        <v>8429</v>
      </c>
      <c r="F9" s="22" t="n">
        <v>2</v>
      </c>
      <c r="G9" s="22" t="n">
        <v>23979</v>
      </c>
      <c r="H9" s="10" t="s">
        <v>186</v>
      </c>
      <c r="I9" s="10" t="str">
        <f aca="false">IFERROR(VLOOKUP(E9,Parameters!$G$6:$H$15,2,FALSE()),"")</f>
        <v>Bulldozers / excavators / loaders</v>
      </c>
      <c r="J9" s="10" t="str">
        <f aca="false">IFERROR(INDEX(Name_Map!$B$2:$B$102,MATCH(D9,Name_Map!$A$2:$A$102,0)),D9)</f>
        <v>Austral Truck Center SpA</v>
      </c>
      <c r="K9" s="22" t="n">
        <f aca="false">IF(F9&gt;0,G9/F9,0)</f>
        <v>11989.5</v>
      </c>
      <c r="L9" s="10" t="str">
        <f aca="false">IF(AND(COUNTIFS($A$2:$A$307,A9,$E$2:$E$307,E9)&gt;1,COUNTIFS($A$2:$A$307,A9,$E$2:$E$307,E9,$G$2:$G$307,G9)=COUNTIFS($A$2:$A$307,A9,$E$2:$E$307,E9)),"CHECK","OK")</f>
        <v>OK</v>
      </c>
      <c r="M9" s="22" t="n">
        <f aca="false">IF(L9="CHECK",G9/SUMIFS($F$2:$F$307,$A$2:$A$307,A9,$E$2:$E$307,E9),K9)</f>
        <v>11989.5</v>
      </c>
      <c r="N9" s="10" t="str">
        <f aca="false">IF(COUNTIF(Parameters!$E$6:$E$13,H9)&gt;0,"Yes","No")</f>
        <v>No</v>
      </c>
      <c r="O9" s="10" t="str">
        <f aca="false">IF(M9&lt;=Parameters!$B$3,IF(COUNTIF(Parameters!$A$6:$A$7,E9)&gt;0,"Vehicles","Out of scope"),IF(COUNTIF(Parameters!$C$6:$C$14,E9)&gt;0,"H&amp;H","Out of scope"))</f>
        <v>Out of scope</v>
      </c>
      <c r="P9" s="22" t="n">
        <f aca="false">M9*F9</f>
        <v>23979</v>
      </c>
    </row>
    <row r="10" customFormat="false" ht="15" hidden="false" customHeight="false" outlineLevel="0" collapsed="false">
      <c r="A10" s="10" t="s">
        <v>187</v>
      </c>
      <c r="B10" s="21" t="n">
        <v>45677</v>
      </c>
      <c r="C10" s="10" t="s">
        <v>159</v>
      </c>
      <c r="D10" s="10" t="s">
        <v>104</v>
      </c>
      <c r="E10" s="10" t="n">
        <v>8429</v>
      </c>
      <c r="F10" s="22" t="n">
        <v>2</v>
      </c>
      <c r="G10" s="22" t="n">
        <v>121833</v>
      </c>
      <c r="H10" s="10" t="s">
        <v>182</v>
      </c>
      <c r="I10" s="10" t="str">
        <f aca="false">IFERROR(VLOOKUP(E10,Parameters!$G$6:$H$15,2,FALSE()),"")</f>
        <v>Bulldozers / excavators / loaders</v>
      </c>
      <c r="J10" s="10" t="str">
        <f aca="false">IFERROR(INDEX(Name_Map!$B$2:$B$102,MATCH(D10,Name_Map!$A$2:$A$102,0)),D10)</f>
        <v>Equinoccio Maquinaria S.A.</v>
      </c>
      <c r="K10" s="22" t="n">
        <f aca="false">IF(F10&gt;0,G10/F10,0)</f>
        <v>60916.5</v>
      </c>
      <c r="L10" s="10" t="str">
        <f aca="false">IF(AND(COUNTIFS($A$2:$A$307,A10,$E$2:$E$307,E10)&gt;1,COUNTIFS($A$2:$A$307,A10,$E$2:$E$307,E10,$G$2:$G$307,G10)=COUNTIFS($A$2:$A$307,A10,$E$2:$E$307,E10)),"CHECK","OK")</f>
        <v>OK</v>
      </c>
      <c r="M10" s="22" t="n">
        <f aca="false">IF(L10="CHECK",G10/SUMIFS($F$2:$F$307,$A$2:$A$307,A10,$E$2:$E$307,E10),K10)</f>
        <v>60916.5</v>
      </c>
      <c r="N10" s="10" t="str">
        <f aca="false">IF(COUNTIF(Parameters!$E$6:$E$13,H10)&gt;0,"Yes","No")</f>
        <v>No</v>
      </c>
      <c r="O10" s="10" t="str">
        <f aca="false">IF(M10&lt;=Parameters!$B$3,IF(COUNTIF(Parameters!$A$6:$A$7,E10)&gt;0,"Vehicles","Out of scope"),IF(COUNTIF(Parameters!$C$6:$C$14,E10)&gt;0,"H&amp;H","Out of scope"))</f>
        <v>H&amp;H</v>
      </c>
      <c r="P10" s="22" t="n">
        <f aca="false">M10*F10</f>
        <v>121833</v>
      </c>
    </row>
    <row r="11" customFormat="false" ht="15" hidden="false" customHeight="false" outlineLevel="0" collapsed="false">
      <c r="A11" s="10" t="s">
        <v>187</v>
      </c>
      <c r="B11" s="21" t="n">
        <v>45677</v>
      </c>
      <c r="C11" s="10" t="s">
        <v>159</v>
      </c>
      <c r="D11" s="10" t="s">
        <v>104</v>
      </c>
      <c r="E11" s="10" t="n">
        <v>8429</v>
      </c>
      <c r="F11" s="22" t="n">
        <v>1</v>
      </c>
      <c r="G11" s="22" t="n">
        <v>59882</v>
      </c>
      <c r="H11" s="10" t="s">
        <v>182</v>
      </c>
      <c r="I11" s="10" t="str">
        <f aca="false">IFERROR(VLOOKUP(E11,Parameters!$G$6:$H$15,2,FALSE()),"")</f>
        <v>Bulldozers / excavators / loaders</v>
      </c>
      <c r="J11" s="10" t="str">
        <f aca="false">IFERROR(INDEX(Name_Map!$B$2:$B$102,MATCH(D11,Name_Map!$A$2:$A$102,0)),D11)</f>
        <v>Equinoccio Maquinaria S.A.</v>
      </c>
      <c r="K11" s="22" t="n">
        <f aca="false">IF(F11&gt;0,G11/F11,0)</f>
        <v>59882</v>
      </c>
      <c r="L11" s="10" t="str">
        <f aca="false">IF(AND(COUNTIFS($A$2:$A$307,A11,$E$2:$E$307,E11)&gt;1,COUNTIFS($A$2:$A$307,A11,$E$2:$E$307,E11,$G$2:$G$307,G11)=COUNTIFS($A$2:$A$307,A11,$E$2:$E$307,E11)),"CHECK","OK")</f>
        <v>OK</v>
      </c>
      <c r="M11" s="22" t="n">
        <f aca="false">IF(L11="CHECK",G11/SUMIFS($F$2:$F$307,$A$2:$A$307,A11,$E$2:$E$307,E11),K11)</f>
        <v>59882</v>
      </c>
      <c r="N11" s="10" t="str">
        <f aca="false">IF(COUNTIF(Parameters!$E$6:$E$13,H11)&gt;0,"Yes","No")</f>
        <v>No</v>
      </c>
      <c r="O11" s="10" t="str">
        <f aca="false">IF(M11&lt;=Parameters!$B$3,IF(COUNTIF(Parameters!$A$6:$A$7,E11)&gt;0,"Vehicles","Out of scope"),IF(COUNTIF(Parameters!$C$6:$C$14,E11)&gt;0,"H&amp;H","Out of scope"))</f>
        <v>H&amp;H</v>
      </c>
      <c r="P11" s="22" t="n">
        <f aca="false">M11*F11</f>
        <v>59882</v>
      </c>
    </row>
    <row r="12" customFormat="false" ht="15" hidden="false" customHeight="false" outlineLevel="0" collapsed="false">
      <c r="A12" s="10" t="s">
        <v>188</v>
      </c>
      <c r="B12" s="21" t="n">
        <v>45677</v>
      </c>
      <c r="C12" s="10" t="s">
        <v>161</v>
      </c>
      <c r="D12" s="10" t="s">
        <v>74</v>
      </c>
      <c r="E12" s="10" t="n">
        <v>8703</v>
      </c>
      <c r="F12" s="22" t="n">
        <v>36</v>
      </c>
      <c r="G12" s="22" t="n">
        <v>80045</v>
      </c>
      <c r="H12" s="10" t="s">
        <v>29</v>
      </c>
      <c r="I12" s="10" t="str">
        <f aca="false">IFERROR(VLOOKUP(E12,Parameters!$G$6:$H$15,2,FALSE()),"")</f>
        <v>Passenger cars</v>
      </c>
      <c r="J12" s="10" t="str">
        <f aca="false">IFERROR(INDEX(Name_Map!$B$2:$B$102,MATCH(D12,Name_Map!$A$2:$A$102,0)),D12)</f>
        <v>Canal Autos S.A.</v>
      </c>
      <c r="K12" s="22" t="n">
        <f aca="false">IF(F12&gt;0,G12/F12,0)</f>
        <v>2223.47222222222</v>
      </c>
      <c r="L12" s="10" t="str">
        <f aca="false">IF(AND(COUNTIFS($A$2:$A$307,A12,$E$2:$E$307,E12)&gt;1,COUNTIFS($A$2:$A$307,A12,$E$2:$E$307,E12,$G$2:$G$307,G12)=COUNTIFS($A$2:$A$307,A12,$E$2:$E$307,E12)),"CHECK","OK")</f>
        <v>OK</v>
      </c>
      <c r="M12" s="22" t="n">
        <f aca="false">IF(L12="CHECK",G12/SUMIFS($F$2:$F$307,$A$2:$A$307,A12,$E$2:$E$307,E12),K12)</f>
        <v>2223.47222222222</v>
      </c>
      <c r="N12" s="10" t="str">
        <f aca="false">IF(COUNTIF(Parameters!$E$6:$E$13,H12)&gt;0,"Yes","No")</f>
        <v>Yes</v>
      </c>
      <c r="O12" s="10" t="str">
        <f aca="false">IF(M12&lt;=Parameters!$B$3,IF(COUNTIF(Parameters!$A$6:$A$7,E12)&gt;0,"Vehicles","Out of scope"),IF(COUNTIF(Parameters!$C$6:$C$14,E12)&gt;0,"H&amp;H","Out of scope"))</f>
        <v>Vehicles</v>
      </c>
      <c r="P12" s="22" t="n">
        <f aca="false">M12*F12</f>
        <v>80045</v>
      </c>
    </row>
    <row r="13" customFormat="false" ht="15" hidden="false" customHeight="false" outlineLevel="0" collapsed="false">
      <c r="A13" s="10" t="s">
        <v>189</v>
      </c>
      <c r="B13" s="21" t="n">
        <v>45682</v>
      </c>
      <c r="C13" s="10" t="s">
        <v>159</v>
      </c>
      <c r="D13" s="10" t="s">
        <v>101</v>
      </c>
      <c r="E13" s="10" t="n">
        <v>8429</v>
      </c>
      <c r="F13" s="22" t="n">
        <v>1</v>
      </c>
      <c r="G13" s="22" t="n">
        <v>53204</v>
      </c>
      <c r="H13" s="10" t="s">
        <v>41</v>
      </c>
      <c r="I13" s="10" t="str">
        <f aca="false">IFERROR(VLOOKUP(E13,Parameters!$G$6:$H$15,2,FALSE()),"")</f>
        <v>Bulldozers / excavators / loaders</v>
      </c>
      <c r="J13" s="10" t="str">
        <f aca="false">IFERROR(INDEX(Name_Map!$B$2:$B$102,MATCH(D13,Name_Map!$A$2:$A$102,0)),D13)</f>
        <v>Equinoccio Maquinaria S.A.</v>
      </c>
      <c r="K13" s="22" t="n">
        <f aca="false">IF(F13&gt;0,G13/F13,0)</f>
        <v>53204</v>
      </c>
      <c r="L13" s="10" t="str">
        <f aca="false">IF(AND(COUNTIFS($A$2:$A$307,A13,$E$2:$E$307,E13)&gt;1,COUNTIFS($A$2:$A$307,A13,$E$2:$E$307,E13,$G$2:$G$307,G13)=COUNTIFS($A$2:$A$307,A13,$E$2:$E$307,E13)),"CHECK","OK")</f>
        <v>OK</v>
      </c>
      <c r="M13" s="22" t="n">
        <f aca="false">IF(L13="CHECK",G13/SUMIFS($F$2:$F$307,$A$2:$A$307,A13,$E$2:$E$307,E13),K13)</f>
        <v>53204</v>
      </c>
      <c r="N13" s="10" t="str">
        <f aca="false">IF(COUNTIF(Parameters!$E$6:$E$13,H13)&gt;0,"Yes","No")</f>
        <v>Yes</v>
      </c>
      <c r="O13" s="10" t="str">
        <f aca="false">IF(M13&lt;=Parameters!$B$3,IF(COUNTIF(Parameters!$A$6:$A$7,E13)&gt;0,"Vehicles","Out of scope"),IF(COUNTIF(Parameters!$C$6:$C$14,E13)&gt;0,"H&amp;H","Out of scope"))</f>
        <v>H&amp;H</v>
      </c>
      <c r="P13" s="22" t="n">
        <f aca="false">M13*F13</f>
        <v>53204</v>
      </c>
    </row>
    <row r="14" customFormat="false" ht="15" hidden="false" customHeight="false" outlineLevel="0" collapsed="false">
      <c r="A14" s="10" t="s">
        <v>190</v>
      </c>
      <c r="B14" s="21" t="n">
        <v>45684</v>
      </c>
      <c r="C14" s="10" t="s">
        <v>160</v>
      </c>
      <c r="D14" s="10" t="s">
        <v>92</v>
      </c>
      <c r="E14" s="10" t="n">
        <v>8426</v>
      </c>
      <c r="F14" s="22" t="n">
        <v>1</v>
      </c>
      <c r="G14" s="22" t="n">
        <v>45049</v>
      </c>
      <c r="H14" s="10" t="s">
        <v>33</v>
      </c>
      <c r="I14" s="10" t="str">
        <f aca="false">IFERROR(VLOOKUP(E14,Parameters!$G$6:$H$15,2,FALSE()),"")</f>
        <v>Cranes</v>
      </c>
      <c r="J14" s="10" t="str">
        <f aca="false">IFERROR(INDEX(Name_Map!$B$2:$B$102,MATCH(D14,Name_Map!$A$2:$A$102,0)),D14)</f>
        <v>Cibao Equipos S.R.L.</v>
      </c>
      <c r="K14" s="22" t="n">
        <f aca="false">IF(F14&gt;0,G14/F14,0)</f>
        <v>45049</v>
      </c>
      <c r="L14" s="10" t="str">
        <f aca="false">IF(AND(COUNTIFS($A$2:$A$307,A14,$E$2:$E$307,E14)&gt;1,COUNTIFS($A$2:$A$307,A14,$E$2:$E$307,E14,$G$2:$G$307,G14)=COUNTIFS($A$2:$A$307,A14,$E$2:$E$307,E14)),"CHECK","OK")</f>
        <v>OK</v>
      </c>
      <c r="M14" s="22" t="n">
        <f aca="false">IF(L14="CHECK",G14/SUMIFS($F$2:$F$307,$A$2:$A$307,A14,$E$2:$E$307,E14),K14)</f>
        <v>45049</v>
      </c>
      <c r="N14" s="10" t="str">
        <f aca="false">IF(COUNTIF(Parameters!$E$6:$E$13,H14)&gt;0,"Yes","No")</f>
        <v>Yes</v>
      </c>
      <c r="O14" s="10" t="str">
        <f aca="false">IF(M14&lt;=Parameters!$B$3,IF(COUNTIF(Parameters!$A$6:$A$7,E14)&gt;0,"Vehicles","Out of scope"),IF(COUNTIF(Parameters!$C$6:$C$14,E14)&gt;0,"H&amp;H","Out of scope"))</f>
        <v>H&amp;H</v>
      </c>
      <c r="P14" s="22" t="n">
        <f aca="false">M14*F14</f>
        <v>45049</v>
      </c>
    </row>
    <row r="15" customFormat="false" ht="15" hidden="false" customHeight="false" outlineLevel="0" collapsed="false">
      <c r="A15" s="10" t="s">
        <v>190</v>
      </c>
      <c r="B15" s="21" t="n">
        <v>45684</v>
      </c>
      <c r="C15" s="10" t="s">
        <v>160</v>
      </c>
      <c r="D15" s="10" t="s">
        <v>78</v>
      </c>
      <c r="E15" s="10" t="n">
        <v>8433</v>
      </c>
      <c r="F15" s="22" t="n">
        <v>1</v>
      </c>
      <c r="G15" s="22" t="n">
        <v>9835</v>
      </c>
      <c r="H15" s="10" t="s">
        <v>33</v>
      </c>
      <c r="I15" s="10" t="str">
        <f aca="false">IFERROR(VLOOKUP(E15,Parameters!$G$6:$H$15,2,FALSE()),"")</f>
        <v>Harvesting machinery</v>
      </c>
      <c r="J15" s="10" t="str">
        <f aca="false">IFERROR(INDEX(Name_Map!$B$2:$B$102,MATCH(D15,Name_Map!$A$2:$A$102,0)),D15)</f>
        <v>Cibao Equipos S.R.L.</v>
      </c>
      <c r="K15" s="22" t="n">
        <f aca="false">IF(F15&gt;0,G15/F15,0)</f>
        <v>9835</v>
      </c>
      <c r="L15" s="10" t="str">
        <f aca="false">IF(AND(COUNTIFS($A$2:$A$307,A15,$E$2:$E$307,E15)&gt;1,COUNTIFS($A$2:$A$307,A15,$E$2:$E$307,E15,$G$2:$G$307,G15)=COUNTIFS($A$2:$A$307,A15,$E$2:$E$307,E15)),"CHECK","OK")</f>
        <v>OK</v>
      </c>
      <c r="M15" s="22" t="n">
        <f aca="false">IF(L15="CHECK",G15/SUMIFS($F$2:$F$307,$A$2:$A$307,A15,$E$2:$E$307,E15),K15)</f>
        <v>9835</v>
      </c>
      <c r="N15" s="10" t="str">
        <f aca="false">IF(COUNTIF(Parameters!$E$6:$E$13,H15)&gt;0,"Yes","No")</f>
        <v>Yes</v>
      </c>
      <c r="O15" s="10" t="str">
        <f aca="false">IF(M15&lt;=Parameters!$B$3,IF(COUNTIF(Parameters!$A$6:$A$7,E15)&gt;0,"Vehicles","Out of scope"),IF(COUNTIF(Parameters!$C$6:$C$14,E15)&gt;0,"H&amp;H","Out of scope"))</f>
        <v>Out of scope</v>
      </c>
      <c r="P15" s="22" t="n">
        <f aca="false">M15*F15</f>
        <v>9835</v>
      </c>
    </row>
    <row r="16" customFormat="false" ht="15" hidden="false" customHeight="false" outlineLevel="0" collapsed="false">
      <c r="A16" s="10" t="s">
        <v>191</v>
      </c>
      <c r="B16" s="21" t="n">
        <v>45687</v>
      </c>
      <c r="C16" s="10" t="s">
        <v>161</v>
      </c>
      <c r="D16" s="10" t="s">
        <v>90</v>
      </c>
      <c r="E16" s="10" t="n">
        <v>8705</v>
      </c>
      <c r="F16" s="22" t="n">
        <v>3</v>
      </c>
      <c r="G16" s="22" t="n">
        <v>173703</v>
      </c>
      <c r="H16" s="10" t="s">
        <v>39</v>
      </c>
      <c r="I16" s="10" t="str">
        <f aca="false">IFERROR(VLOOKUP(E16,Parameters!$G$6:$H$15,2,FALSE()),"")</f>
        <v>Special-purpose vehicles</v>
      </c>
      <c r="J16" s="10" t="str">
        <f aca="false">IFERROR(INDEX(Name_Map!$B$2:$B$102,MATCH(D16,Name_Map!$A$2:$A$102,0)),D16)</f>
        <v>Chiriqui Agro Machinery S.A.</v>
      </c>
      <c r="K16" s="22" t="n">
        <f aca="false">IF(F16&gt;0,G16/F16,0)</f>
        <v>57901</v>
      </c>
      <c r="L16" s="10" t="str">
        <f aca="false">IF(AND(COUNTIFS($A$2:$A$307,A16,$E$2:$E$307,E16)&gt;1,COUNTIFS($A$2:$A$307,A16,$E$2:$E$307,E16,$G$2:$G$307,G16)=COUNTIFS($A$2:$A$307,A16,$E$2:$E$307,E16)),"CHECK","OK")</f>
        <v>OK</v>
      </c>
      <c r="M16" s="22" t="n">
        <f aca="false">IF(L16="CHECK",G16/SUMIFS($F$2:$F$307,$A$2:$A$307,A16,$E$2:$E$307,E16),K16)</f>
        <v>57901</v>
      </c>
      <c r="N16" s="10" t="str">
        <f aca="false">IF(COUNTIF(Parameters!$E$6:$E$13,H16)&gt;0,"Yes","No")</f>
        <v>Yes</v>
      </c>
      <c r="O16" s="10" t="str">
        <f aca="false">IF(M16&lt;=Parameters!$B$3,IF(COUNTIF(Parameters!$A$6:$A$7,E16)&gt;0,"Vehicles","Out of scope"),IF(COUNTIF(Parameters!$C$6:$C$14,E16)&gt;0,"H&amp;H","Out of scope"))</f>
        <v>H&amp;H</v>
      </c>
      <c r="P16" s="22" t="n">
        <f aca="false">M16*F16</f>
        <v>173703</v>
      </c>
    </row>
    <row r="17" customFormat="false" ht="15" hidden="false" customHeight="false" outlineLevel="0" collapsed="false">
      <c r="A17" s="10" t="s">
        <v>192</v>
      </c>
      <c r="B17" s="21" t="n">
        <v>45688</v>
      </c>
      <c r="C17" s="10" t="s">
        <v>161</v>
      </c>
      <c r="D17" s="10" t="s">
        <v>113</v>
      </c>
      <c r="E17" s="10" t="n">
        <v>8704</v>
      </c>
      <c r="F17" s="22" t="n">
        <v>4</v>
      </c>
      <c r="G17" s="22" t="n">
        <v>14558</v>
      </c>
      <c r="H17" s="10" t="s">
        <v>193</v>
      </c>
      <c r="I17" s="10" t="str">
        <f aca="false">IFERROR(VLOOKUP(E17,Parameters!$G$6:$H$15,2,FALSE()),"")</f>
        <v>Goods vehicles (trucks)</v>
      </c>
      <c r="J17" s="10" t="str">
        <f aca="false">IFERROR(INDEX(Name_Map!$B$2:$B$102,MATCH(D17,Name_Map!$A$2:$A$102,0)),D17)</f>
        <v>Istmo Motors S.A.</v>
      </c>
      <c r="K17" s="22" t="n">
        <f aca="false">IF(F17&gt;0,G17/F17,0)</f>
        <v>3639.5</v>
      </c>
      <c r="L17" s="10" t="str">
        <f aca="false">IF(AND(COUNTIFS($A$2:$A$307,A17,$E$2:$E$307,E17)&gt;1,COUNTIFS($A$2:$A$307,A17,$E$2:$E$307,E17,$G$2:$G$307,G17)=COUNTIFS($A$2:$A$307,A17,$E$2:$E$307,E17)),"CHECK","OK")</f>
        <v>OK</v>
      </c>
      <c r="M17" s="22" t="n">
        <f aca="false">IF(L17="CHECK",G17/SUMIFS($F$2:$F$307,$A$2:$A$307,A17,$E$2:$E$307,E17),K17)</f>
        <v>3639.5</v>
      </c>
      <c r="N17" s="10" t="str">
        <f aca="false">IF(COUNTIF(Parameters!$E$6:$E$13,H17)&gt;0,"Yes","No")</f>
        <v>No</v>
      </c>
      <c r="O17" s="10" t="str">
        <f aca="false">IF(M17&lt;=Parameters!$B$3,IF(COUNTIF(Parameters!$A$6:$A$7,E17)&gt;0,"Vehicles","Out of scope"),IF(COUNTIF(Parameters!$C$6:$C$14,E17)&gt;0,"H&amp;H","Out of scope"))</f>
        <v>Vehicles</v>
      </c>
      <c r="P17" s="22" t="n">
        <f aca="false">M17*F17</f>
        <v>14558</v>
      </c>
    </row>
    <row r="18" customFormat="false" ht="15" hidden="false" customHeight="false" outlineLevel="0" collapsed="false">
      <c r="A18" s="10" t="s">
        <v>192</v>
      </c>
      <c r="B18" s="21" t="n">
        <v>45688</v>
      </c>
      <c r="C18" s="10" t="s">
        <v>161</v>
      </c>
      <c r="D18" s="10" t="s">
        <v>113</v>
      </c>
      <c r="E18" s="10" t="n">
        <v>8703</v>
      </c>
      <c r="F18" s="22" t="n">
        <v>27</v>
      </c>
      <c r="G18" s="22" t="n">
        <v>58465</v>
      </c>
      <c r="H18" s="10" t="s">
        <v>193</v>
      </c>
      <c r="I18" s="10" t="str">
        <f aca="false">IFERROR(VLOOKUP(E18,Parameters!$G$6:$H$15,2,FALSE()),"")</f>
        <v>Passenger cars</v>
      </c>
      <c r="J18" s="10" t="str">
        <f aca="false">IFERROR(INDEX(Name_Map!$B$2:$B$102,MATCH(D18,Name_Map!$A$2:$A$102,0)),D18)</f>
        <v>Istmo Motors S.A.</v>
      </c>
      <c r="K18" s="22" t="n">
        <f aca="false">IF(F18&gt;0,G18/F18,0)</f>
        <v>2165.37037037037</v>
      </c>
      <c r="L18" s="10" t="str">
        <f aca="false">IF(AND(COUNTIFS($A$2:$A$307,A18,$E$2:$E$307,E18)&gt;1,COUNTIFS($A$2:$A$307,A18,$E$2:$E$307,E18,$G$2:$G$307,G18)=COUNTIFS($A$2:$A$307,A18,$E$2:$E$307,E18)),"CHECK","OK")</f>
        <v>OK</v>
      </c>
      <c r="M18" s="22" t="n">
        <f aca="false">IF(L18="CHECK",G18/SUMIFS($F$2:$F$307,$A$2:$A$307,A18,$E$2:$E$307,E18),K18)</f>
        <v>2165.37037037037</v>
      </c>
      <c r="N18" s="10" t="str">
        <f aca="false">IF(COUNTIF(Parameters!$E$6:$E$13,H18)&gt;0,"Yes","No")</f>
        <v>No</v>
      </c>
      <c r="O18" s="10" t="str">
        <f aca="false">IF(M18&lt;=Parameters!$B$3,IF(COUNTIF(Parameters!$A$6:$A$7,E18)&gt;0,"Vehicles","Out of scope"),IF(COUNTIF(Parameters!$C$6:$C$14,E18)&gt;0,"H&amp;H","Out of scope"))</f>
        <v>Vehicles</v>
      </c>
      <c r="P18" s="22" t="n">
        <f aca="false">M18*F18</f>
        <v>58465</v>
      </c>
    </row>
    <row r="19" customFormat="false" ht="15" hidden="false" customHeight="false" outlineLevel="0" collapsed="false">
      <c r="A19" s="10" t="s">
        <v>194</v>
      </c>
      <c r="B19" s="21" t="n">
        <v>45688</v>
      </c>
      <c r="C19" s="10" t="s">
        <v>158</v>
      </c>
      <c r="D19" s="10" t="s">
        <v>48</v>
      </c>
      <c r="E19" s="10" t="n">
        <v>8704</v>
      </c>
      <c r="F19" s="22" t="n">
        <v>20</v>
      </c>
      <c r="G19" s="22" t="n">
        <v>116028</v>
      </c>
      <c r="H19" s="10" t="s">
        <v>35</v>
      </c>
      <c r="I19" s="10" t="str">
        <f aca="false">IFERROR(VLOOKUP(E19,Parameters!$G$6:$H$15,2,FALSE()),"")</f>
        <v>Goods vehicles (trucks)</v>
      </c>
      <c r="J19" s="10" t="str">
        <f aca="false">IFERROR(INDEX(Name_Map!$B$2:$B$102,MATCH(D19,Name_Map!$A$2:$A$102,0)),D19)</f>
        <v>Altiplano Trucks S.A.C.</v>
      </c>
      <c r="K19" s="22" t="n">
        <f aca="false">IF(F19&gt;0,G19/F19,0)</f>
        <v>5801.4</v>
      </c>
      <c r="L19" s="10" t="str">
        <f aca="false">IF(AND(COUNTIFS($A$2:$A$307,A19,$E$2:$E$307,E19)&gt;1,COUNTIFS($A$2:$A$307,A19,$E$2:$E$307,E19,$G$2:$G$307,G19)=COUNTIFS($A$2:$A$307,A19,$E$2:$E$307,E19)),"CHECK","OK")</f>
        <v>OK</v>
      </c>
      <c r="M19" s="22" t="n">
        <f aca="false">IF(L19="CHECK",G19/SUMIFS($F$2:$F$307,$A$2:$A$307,A19,$E$2:$E$307,E19),K19)</f>
        <v>5801.4</v>
      </c>
      <c r="N19" s="10" t="str">
        <f aca="false">IF(COUNTIF(Parameters!$E$6:$E$13,H19)&gt;0,"Yes","No")</f>
        <v>Yes</v>
      </c>
      <c r="O19" s="10" t="str">
        <f aca="false">IF(M19&lt;=Parameters!$B$3,IF(COUNTIF(Parameters!$A$6:$A$7,E19)&gt;0,"Vehicles","Out of scope"),IF(COUNTIF(Parameters!$C$6:$C$14,E19)&gt;0,"H&amp;H","Out of scope"))</f>
        <v>Vehicles</v>
      </c>
      <c r="P19" s="22" t="n">
        <f aca="false">M19*F19</f>
        <v>116028</v>
      </c>
    </row>
    <row r="20" customFormat="false" ht="15" hidden="false" customHeight="false" outlineLevel="0" collapsed="false">
      <c r="A20" s="10" t="s">
        <v>194</v>
      </c>
      <c r="B20" s="21" t="n">
        <v>45688</v>
      </c>
      <c r="C20" s="10" t="s">
        <v>158</v>
      </c>
      <c r="D20" s="10" t="s">
        <v>47</v>
      </c>
      <c r="E20" s="10" t="n">
        <v>8703</v>
      </c>
      <c r="F20" s="22" t="n">
        <v>27</v>
      </c>
      <c r="G20" s="22" t="n">
        <v>46152</v>
      </c>
      <c r="H20" s="10" t="s">
        <v>35</v>
      </c>
      <c r="I20" s="10" t="str">
        <f aca="false">IFERROR(VLOOKUP(E20,Parameters!$G$6:$H$15,2,FALSE()),"")</f>
        <v>Passenger cars</v>
      </c>
      <c r="J20" s="10" t="str">
        <f aca="false">IFERROR(INDEX(Name_Map!$B$2:$B$102,MATCH(D20,Name_Map!$A$2:$A$102,0)),D20)</f>
        <v>Altiplano Trucks S.A.C.</v>
      </c>
      <c r="K20" s="22" t="n">
        <f aca="false">IF(F20&gt;0,G20/F20,0)</f>
        <v>1709.33333333333</v>
      </c>
      <c r="L20" s="10" t="str">
        <f aca="false">IF(AND(COUNTIFS($A$2:$A$307,A20,$E$2:$E$307,E20)&gt;1,COUNTIFS($A$2:$A$307,A20,$E$2:$E$307,E20,$G$2:$G$307,G20)=COUNTIFS($A$2:$A$307,A20,$E$2:$E$307,E20)),"CHECK","OK")</f>
        <v>OK</v>
      </c>
      <c r="M20" s="22" t="n">
        <f aca="false">IF(L20="CHECK",G20/SUMIFS($F$2:$F$307,$A$2:$A$307,A20,$E$2:$E$307,E20),K20)</f>
        <v>1709.33333333333</v>
      </c>
      <c r="N20" s="10" t="str">
        <f aca="false">IF(COUNTIF(Parameters!$E$6:$E$13,H20)&gt;0,"Yes","No")</f>
        <v>Yes</v>
      </c>
      <c r="O20" s="10" t="str">
        <f aca="false">IF(M20&lt;=Parameters!$B$3,IF(COUNTIF(Parameters!$A$6:$A$7,E20)&gt;0,"Vehicles","Out of scope"),IF(COUNTIF(Parameters!$C$6:$C$14,E20)&gt;0,"H&amp;H","Out of scope"))</f>
        <v>Vehicles</v>
      </c>
      <c r="P20" s="22" t="n">
        <f aca="false">M20*F20</f>
        <v>46152</v>
      </c>
    </row>
    <row r="21" customFormat="false" ht="15" hidden="false" customHeight="false" outlineLevel="0" collapsed="false">
      <c r="A21" s="10" t="s">
        <v>195</v>
      </c>
      <c r="B21" s="21" t="n">
        <v>45689</v>
      </c>
      <c r="C21" s="10" t="s">
        <v>161</v>
      </c>
      <c r="D21" s="10" t="s">
        <v>86</v>
      </c>
      <c r="E21" s="10" t="n">
        <v>8703</v>
      </c>
      <c r="F21" s="22" t="n">
        <v>5</v>
      </c>
      <c r="G21" s="22" t="n">
        <v>9360</v>
      </c>
      <c r="H21" s="10" t="s">
        <v>31</v>
      </c>
      <c r="I21" s="10" t="str">
        <f aca="false">IFERROR(VLOOKUP(E21,Parameters!$G$6:$H$15,2,FALSE()),"")</f>
        <v>Passenger cars</v>
      </c>
      <c r="J21" s="10" t="str">
        <f aca="false">IFERROR(INDEX(Name_Map!$B$2:$B$102,MATCH(D21,Name_Map!$A$2:$A$102,0)),D21)</f>
        <v>Canal Autos S.A.</v>
      </c>
      <c r="K21" s="22" t="n">
        <f aca="false">IF(F21&gt;0,G21/F21,0)</f>
        <v>1872</v>
      </c>
      <c r="L21" s="10" t="str">
        <f aca="false">IF(AND(COUNTIFS($A$2:$A$307,A21,$E$2:$E$307,E21)&gt;1,COUNTIFS($A$2:$A$307,A21,$E$2:$E$307,E21,$G$2:$G$307,G21)=COUNTIFS($A$2:$A$307,A21,$E$2:$E$307,E21)),"CHECK","OK")</f>
        <v>OK</v>
      </c>
      <c r="M21" s="22" t="n">
        <f aca="false">IF(L21="CHECK",G21/SUMIFS($F$2:$F$307,$A$2:$A$307,A21,$E$2:$E$307,E21),K21)</f>
        <v>1872</v>
      </c>
      <c r="N21" s="10" t="str">
        <f aca="false">IF(COUNTIF(Parameters!$E$6:$E$13,H21)&gt;0,"Yes","No")</f>
        <v>Yes</v>
      </c>
      <c r="O21" s="10" t="str">
        <f aca="false">IF(M21&lt;=Parameters!$B$3,IF(COUNTIF(Parameters!$A$6:$A$7,E21)&gt;0,"Vehicles","Out of scope"),IF(COUNTIF(Parameters!$C$6:$C$14,E21)&gt;0,"H&amp;H","Out of scope"))</f>
        <v>Vehicles</v>
      </c>
      <c r="P21" s="22" t="n">
        <f aca="false">M21*F21</f>
        <v>9360</v>
      </c>
    </row>
    <row r="22" customFormat="false" ht="15" hidden="false" customHeight="false" outlineLevel="0" collapsed="false">
      <c r="A22" s="10" t="s">
        <v>195</v>
      </c>
      <c r="B22" s="21" t="n">
        <v>45689</v>
      </c>
      <c r="C22" s="10" t="s">
        <v>161</v>
      </c>
      <c r="D22" s="10" t="s">
        <v>73</v>
      </c>
      <c r="E22" s="10" t="n">
        <v>8703</v>
      </c>
      <c r="F22" s="22" t="n">
        <v>35</v>
      </c>
      <c r="G22" s="22" t="n">
        <v>63122</v>
      </c>
      <c r="H22" s="10" t="s">
        <v>31</v>
      </c>
      <c r="I22" s="10" t="str">
        <f aca="false">IFERROR(VLOOKUP(E22,Parameters!$G$6:$H$15,2,FALSE()),"")</f>
        <v>Passenger cars</v>
      </c>
      <c r="J22" s="10" t="str">
        <f aca="false">IFERROR(INDEX(Name_Map!$B$2:$B$102,MATCH(D22,Name_Map!$A$2:$A$102,0)),D22)</f>
        <v>Canal Autos S.A.</v>
      </c>
      <c r="K22" s="22" t="n">
        <f aca="false">IF(F22&gt;0,G22/F22,0)</f>
        <v>1803.48571428571</v>
      </c>
      <c r="L22" s="10" t="str">
        <f aca="false">IF(AND(COUNTIFS($A$2:$A$307,A22,$E$2:$E$307,E22)&gt;1,COUNTIFS($A$2:$A$307,A22,$E$2:$E$307,E22,$G$2:$G$307,G22)=COUNTIFS($A$2:$A$307,A22,$E$2:$E$307,E22)),"CHECK","OK")</f>
        <v>OK</v>
      </c>
      <c r="M22" s="22" t="n">
        <f aca="false">IF(L22="CHECK",G22/SUMIFS($F$2:$F$307,$A$2:$A$307,A22,$E$2:$E$307,E22),K22)</f>
        <v>1803.48571428571</v>
      </c>
      <c r="N22" s="10" t="str">
        <f aca="false">IF(COUNTIF(Parameters!$E$6:$E$13,H22)&gt;0,"Yes","No")</f>
        <v>Yes</v>
      </c>
      <c r="O22" s="10" t="str">
        <f aca="false">IF(M22&lt;=Parameters!$B$3,IF(COUNTIF(Parameters!$A$6:$A$7,E22)&gt;0,"Vehicles","Out of scope"),IF(COUNTIF(Parameters!$C$6:$C$14,E22)&gt;0,"H&amp;H","Out of scope"))</f>
        <v>Vehicles</v>
      </c>
      <c r="P22" s="22" t="n">
        <f aca="false">M22*F22</f>
        <v>63122</v>
      </c>
    </row>
    <row r="23" customFormat="false" ht="15" hidden="false" customHeight="false" outlineLevel="0" collapsed="false">
      <c r="A23" s="10" t="s">
        <v>196</v>
      </c>
      <c r="B23" s="21" t="n">
        <v>45690</v>
      </c>
      <c r="C23" s="10" t="s">
        <v>157</v>
      </c>
      <c r="D23" s="10" t="s">
        <v>71</v>
      </c>
      <c r="E23" s="10" t="n">
        <v>8703</v>
      </c>
      <c r="F23" s="22" t="n">
        <v>5</v>
      </c>
      <c r="G23" s="22" t="n">
        <v>7914</v>
      </c>
      <c r="H23" s="10" t="s">
        <v>37</v>
      </c>
      <c r="I23" s="10" t="str">
        <f aca="false">IFERROR(VLOOKUP(E23,Parameters!$G$6:$H$15,2,FALSE()),"")</f>
        <v>Passenger cars</v>
      </c>
      <c r="J23" s="10" t="str">
        <f aca="false">IFERROR(INDEX(Name_Map!$B$2:$B$102,MATCH(D23,Name_Map!$A$2:$A$102,0)),D23)</f>
        <v>Bogota Car Import S.A.S.</v>
      </c>
      <c r="K23" s="22" t="n">
        <f aca="false">IF(F23&gt;0,G23/F23,0)</f>
        <v>1582.8</v>
      </c>
      <c r="L23" s="10" t="str">
        <f aca="false">IF(AND(COUNTIFS($A$2:$A$307,A23,$E$2:$E$307,E23)&gt;1,COUNTIFS($A$2:$A$307,A23,$E$2:$E$307,E23,$G$2:$G$307,G23)=COUNTIFS($A$2:$A$307,A23,$E$2:$E$307,E23)),"CHECK","OK")</f>
        <v>OK</v>
      </c>
      <c r="M23" s="22" t="n">
        <f aca="false">IF(L23="CHECK",G23/SUMIFS($F$2:$F$307,$A$2:$A$307,A23,$E$2:$E$307,E23),K23)</f>
        <v>1582.8</v>
      </c>
      <c r="N23" s="10" t="str">
        <f aca="false">IF(COUNTIF(Parameters!$E$6:$E$13,H23)&gt;0,"Yes","No")</f>
        <v>Yes</v>
      </c>
      <c r="O23" s="10" t="str">
        <f aca="false">IF(M23&lt;=Parameters!$B$3,IF(COUNTIF(Parameters!$A$6:$A$7,E23)&gt;0,"Vehicles","Out of scope"),IF(COUNTIF(Parameters!$C$6:$C$14,E23)&gt;0,"H&amp;H","Out of scope"))</f>
        <v>Vehicles</v>
      </c>
      <c r="P23" s="22" t="n">
        <f aca="false">M23*F23</f>
        <v>7914</v>
      </c>
    </row>
    <row r="24" customFormat="false" ht="15" hidden="false" customHeight="false" outlineLevel="0" collapsed="false">
      <c r="A24" s="10" t="s">
        <v>197</v>
      </c>
      <c r="B24" s="21" t="n">
        <v>45693</v>
      </c>
      <c r="C24" s="10" t="s">
        <v>156</v>
      </c>
      <c r="D24" s="10" t="s">
        <v>53</v>
      </c>
      <c r="E24" s="10" t="n">
        <v>8433</v>
      </c>
      <c r="F24" s="22" t="n">
        <v>2</v>
      </c>
      <c r="G24" s="22" t="n">
        <v>36261</v>
      </c>
      <c r="H24" s="10" t="s">
        <v>33</v>
      </c>
      <c r="I24" s="10" t="str">
        <f aca="false">IFERROR(VLOOKUP(E24,Parameters!$G$6:$H$15,2,FALSE()),"")</f>
        <v>Harvesting machinery</v>
      </c>
      <c r="J24" s="10" t="str">
        <f aca="false">IFERROR(INDEX(Name_Map!$B$2:$B$102,MATCH(D24,Name_Map!$A$2:$A$102,0)),D24)</f>
        <v>Atacama Equipos Mineros S.A.</v>
      </c>
      <c r="K24" s="22" t="n">
        <f aca="false">IF(F24&gt;0,G24/F24,0)</f>
        <v>18130.5</v>
      </c>
      <c r="L24" s="10" t="str">
        <f aca="false">IF(AND(COUNTIFS($A$2:$A$307,A24,$E$2:$E$307,E24)&gt;1,COUNTIFS($A$2:$A$307,A24,$E$2:$E$307,E24,$G$2:$G$307,G24)=COUNTIFS($A$2:$A$307,A24,$E$2:$E$307,E24)),"CHECK","OK")</f>
        <v>OK</v>
      </c>
      <c r="M24" s="22" t="n">
        <f aca="false">IF(L24="CHECK",G24/SUMIFS($F$2:$F$307,$A$2:$A$307,A24,$E$2:$E$307,E24),K24)</f>
        <v>18130.5</v>
      </c>
      <c r="N24" s="10" t="str">
        <f aca="false">IF(COUNTIF(Parameters!$E$6:$E$13,H24)&gt;0,"Yes","No")</f>
        <v>Yes</v>
      </c>
      <c r="O24" s="10" t="str">
        <f aca="false">IF(M24&lt;=Parameters!$B$3,IF(COUNTIF(Parameters!$A$6:$A$7,E24)&gt;0,"Vehicles","Out of scope"),IF(COUNTIF(Parameters!$C$6:$C$14,E24)&gt;0,"H&amp;H","Out of scope"))</f>
        <v>H&amp;H</v>
      </c>
      <c r="P24" s="22" t="n">
        <f aca="false">M24*F24</f>
        <v>36261</v>
      </c>
    </row>
    <row r="25" customFormat="false" ht="15" hidden="false" customHeight="false" outlineLevel="0" collapsed="false">
      <c r="A25" s="10" t="s">
        <v>198</v>
      </c>
      <c r="B25" s="21" t="n">
        <v>45694</v>
      </c>
      <c r="C25" s="10" t="s">
        <v>158</v>
      </c>
      <c r="D25" s="10" t="s">
        <v>48</v>
      </c>
      <c r="E25" s="10" t="n">
        <v>8704</v>
      </c>
      <c r="F25" s="22" t="n">
        <v>14</v>
      </c>
      <c r="G25" s="22" t="n">
        <v>79576</v>
      </c>
      <c r="H25" s="10" t="s">
        <v>180</v>
      </c>
      <c r="I25" s="10" t="str">
        <f aca="false">IFERROR(VLOOKUP(E25,Parameters!$G$6:$H$15,2,FALSE()),"")</f>
        <v>Goods vehicles (trucks)</v>
      </c>
      <c r="J25" s="10" t="str">
        <f aca="false">IFERROR(INDEX(Name_Map!$B$2:$B$102,MATCH(D25,Name_Map!$A$2:$A$102,0)),D25)</f>
        <v>Altiplano Trucks S.A.C.</v>
      </c>
      <c r="K25" s="22" t="n">
        <f aca="false">IF(F25&gt;0,G25/F25,0)</f>
        <v>5684</v>
      </c>
      <c r="L25" s="10" t="str">
        <f aca="false">IF(AND(COUNTIFS($A$2:$A$307,A25,$E$2:$E$307,E25)&gt;1,COUNTIFS($A$2:$A$307,A25,$E$2:$E$307,E25,$G$2:$G$307,G25)=COUNTIFS($A$2:$A$307,A25,$E$2:$E$307,E25)),"CHECK","OK")</f>
        <v>OK</v>
      </c>
      <c r="M25" s="22" t="n">
        <f aca="false">IF(L25="CHECK",G25/SUMIFS($F$2:$F$307,$A$2:$A$307,A25,$E$2:$E$307,E25),K25)</f>
        <v>5684</v>
      </c>
      <c r="N25" s="10" t="str">
        <f aca="false">IF(COUNTIF(Parameters!$E$6:$E$13,H25)&gt;0,"Yes","No")</f>
        <v>No</v>
      </c>
      <c r="O25" s="10" t="str">
        <f aca="false">IF(M25&lt;=Parameters!$B$3,IF(COUNTIF(Parameters!$A$6:$A$7,E25)&gt;0,"Vehicles","Out of scope"),IF(COUNTIF(Parameters!$C$6:$C$14,E25)&gt;0,"H&amp;H","Out of scope"))</f>
        <v>Vehicles</v>
      </c>
      <c r="P25" s="22" t="n">
        <f aca="false">M25*F25</f>
        <v>79576</v>
      </c>
    </row>
    <row r="26" customFormat="false" ht="15" hidden="false" customHeight="false" outlineLevel="0" collapsed="false">
      <c r="A26" s="10" t="s">
        <v>198</v>
      </c>
      <c r="B26" s="21" t="n">
        <v>45694</v>
      </c>
      <c r="C26" s="10" t="s">
        <v>158</v>
      </c>
      <c r="D26" s="10" t="s">
        <v>59</v>
      </c>
      <c r="E26" s="10" t="n">
        <v>8704</v>
      </c>
      <c r="F26" s="22" t="n">
        <v>11</v>
      </c>
      <c r="G26" s="22" t="n">
        <v>48145</v>
      </c>
      <c r="H26" s="10" t="s">
        <v>180</v>
      </c>
      <c r="I26" s="10" t="str">
        <f aca="false">IFERROR(VLOOKUP(E26,Parameters!$G$6:$H$15,2,FALSE()),"")</f>
        <v>Goods vehicles (trucks)</v>
      </c>
      <c r="J26" s="10" t="str">
        <f aca="false">IFERROR(INDEX(Name_Map!$B$2:$B$102,MATCH(D26,Name_Map!$A$2:$A$102,0)),D26)</f>
        <v>Altiplano Trucks S.A.C.</v>
      </c>
      <c r="K26" s="22" t="n">
        <f aca="false">IF(F26&gt;0,G26/F26,0)</f>
        <v>4376.81818181818</v>
      </c>
      <c r="L26" s="10" t="str">
        <f aca="false">IF(AND(COUNTIFS($A$2:$A$307,A26,$E$2:$E$307,E26)&gt;1,COUNTIFS($A$2:$A$307,A26,$E$2:$E$307,E26,$G$2:$G$307,G26)=COUNTIFS($A$2:$A$307,A26,$E$2:$E$307,E26)),"CHECK","OK")</f>
        <v>OK</v>
      </c>
      <c r="M26" s="22" t="n">
        <f aca="false">IF(L26="CHECK",G26/SUMIFS($F$2:$F$307,$A$2:$A$307,A26,$E$2:$E$307,E26),K26)</f>
        <v>4376.81818181818</v>
      </c>
      <c r="N26" s="10" t="str">
        <f aca="false">IF(COUNTIF(Parameters!$E$6:$E$13,H26)&gt;0,"Yes","No")</f>
        <v>No</v>
      </c>
      <c r="O26" s="10" t="str">
        <f aca="false">IF(M26&lt;=Parameters!$B$3,IF(COUNTIF(Parameters!$A$6:$A$7,E26)&gt;0,"Vehicles","Out of scope"),IF(COUNTIF(Parameters!$C$6:$C$14,E26)&gt;0,"H&amp;H","Out of scope"))</f>
        <v>Vehicles</v>
      </c>
      <c r="P26" s="22" t="n">
        <f aca="false">M26*F26</f>
        <v>48145</v>
      </c>
    </row>
    <row r="27" customFormat="false" ht="15" hidden="false" customHeight="false" outlineLevel="0" collapsed="false">
      <c r="A27" s="10" t="s">
        <v>199</v>
      </c>
      <c r="B27" s="21" t="n">
        <v>45696</v>
      </c>
      <c r="C27" s="10" t="s">
        <v>159</v>
      </c>
      <c r="D27" s="10" t="s">
        <v>109</v>
      </c>
      <c r="E27" s="10" t="n">
        <v>8704</v>
      </c>
      <c r="F27" s="22" t="n">
        <v>30</v>
      </c>
      <c r="G27" s="22" t="n">
        <v>233442</v>
      </c>
      <c r="H27" s="10" t="s">
        <v>41</v>
      </c>
      <c r="I27" s="10" t="str">
        <f aca="false">IFERROR(VLOOKUP(E27,Parameters!$G$6:$H$15,2,FALSE()),"")</f>
        <v>Goods vehicles (trucks)</v>
      </c>
      <c r="J27" s="10" t="str">
        <f aca="false">IFERROR(INDEX(Name_Map!$B$2:$B$102,MATCH(D27,Name_Map!$A$2:$A$102,0)),D27)</f>
        <v>Guayas Autos S.A.</v>
      </c>
      <c r="K27" s="22" t="n">
        <f aca="false">IF(F27&gt;0,G27/F27,0)</f>
        <v>7781.4</v>
      </c>
      <c r="L27" s="10" t="str">
        <f aca="false">IF(AND(COUNTIFS($A$2:$A$307,A27,$E$2:$E$307,E27)&gt;1,COUNTIFS($A$2:$A$307,A27,$E$2:$E$307,E27,$G$2:$G$307,G27)=COUNTIFS($A$2:$A$307,A27,$E$2:$E$307,E27)),"CHECK","OK")</f>
        <v>OK</v>
      </c>
      <c r="M27" s="22" t="n">
        <f aca="false">IF(L27="CHECK",G27/SUMIFS($F$2:$F$307,$A$2:$A$307,A27,$E$2:$E$307,E27),K27)</f>
        <v>7781.4</v>
      </c>
      <c r="N27" s="10" t="str">
        <f aca="false">IF(COUNTIF(Parameters!$E$6:$E$13,H27)&gt;0,"Yes","No")</f>
        <v>Yes</v>
      </c>
      <c r="O27" s="10" t="str">
        <f aca="false">IF(M27&lt;=Parameters!$B$3,IF(COUNTIF(Parameters!$A$6:$A$7,E27)&gt;0,"Vehicles","Out of scope"),IF(COUNTIF(Parameters!$C$6:$C$14,E27)&gt;0,"H&amp;H","Out of scope"))</f>
        <v>Vehicles</v>
      </c>
      <c r="P27" s="22" t="n">
        <f aca="false">M27*F27</f>
        <v>233442</v>
      </c>
    </row>
    <row r="28" customFormat="false" ht="15" hidden="false" customHeight="false" outlineLevel="0" collapsed="false">
      <c r="A28" s="10" t="s">
        <v>199</v>
      </c>
      <c r="B28" s="21" t="n">
        <v>45696</v>
      </c>
      <c r="C28" s="10" t="s">
        <v>159</v>
      </c>
      <c r="D28" s="10" t="s">
        <v>109</v>
      </c>
      <c r="E28" s="10" t="n">
        <v>8704</v>
      </c>
      <c r="F28" s="22" t="n">
        <v>22</v>
      </c>
      <c r="G28" s="22" t="n">
        <v>204178</v>
      </c>
      <c r="H28" s="10" t="s">
        <v>41</v>
      </c>
      <c r="I28" s="10" t="str">
        <f aca="false">IFERROR(VLOOKUP(E28,Parameters!$G$6:$H$15,2,FALSE()),"")</f>
        <v>Goods vehicles (trucks)</v>
      </c>
      <c r="J28" s="10" t="str">
        <f aca="false">IFERROR(INDEX(Name_Map!$B$2:$B$102,MATCH(D28,Name_Map!$A$2:$A$102,0)),D28)</f>
        <v>Guayas Autos S.A.</v>
      </c>
      <c r="K28" s="22" t="n">
        <f aca="false">IF(F28&gt;0,G28/F28,0)</f>
        <v>9280.81818181818</v>
      </c>
      <c r="L28" s="10" t="str">
        <f aca="false">IF(AND(COUNTIFS($A$2:$A$307,A28,$E$2:$E$307,E28)&gt;1,COUNTIFS($A$2:$A$307,A28,$E$2:$E$307,E28,$G$2:$G$307,G28)=COUNTIFS($A$2:$A$307,A28,$E$2:$E$307,E28)),"CHECK","OK")</f>
        <v>OK</v>
      </c>
      <c r="M28" s="22" t="n">
        <f aca="false">IF(L28="CHECK",G28/SUMIFS($F$2:$F$307,$A$2:$A$307,A28,$E$2:$E$307,E28),K28)</f>
        <v>9280.81818181818</v>
      </c>
      <c r="N28" s="10" t="str">
        <f aca="false">IF(COUNTIF(Parameters!$E$6:$E$13,H28)&gt;0,"Yes","No")</f>
        <v>Yes</v>
      </c>
      <c r="O28" s="10" t="str">
        <f aca="false">IF(M28&lt;=Parameters!$B$3,IF(COUNTIF(Parameters!$A$6:$A$7,E28)&gt;0,"Vehicles","Out of scope"),IF(COUNTIF(Parameters!$C$6:$C$14,E28)&gt;0,"H&amp;H","Out of scope"))</f>
        <v>Vehicles</v>
      </c>
      <c r="P28" s="22" t="n">
        <f aca="false">M28*F28</f>
        <v>204178</v>
      </c>
    </row>
    <row r="29" customFormat="false" ht="15" hidden="false" customHeight="false" outlineLevel="0" collapsed="false">
      <c r="A29" s="10" t="s">
        <v>200</v>
      </c>
      <c r="B29" s="21" t="n">
        <v>45696</v>
      </c>
      <c r="C29" s="10" t="s">
        <v>158</v>
      </c>
      <c r="D29" s="10" t="s">
        <v>48</v>
      </c>
      <c r="E29" s="10" t="n">
        <v>8429</v>
      </c>
      <c r="F29" s="22" t="n">
        <v>3</v>
      </c>
      <c r="G29" s="22" t="n">
        <v>36764</v>
      </c>
      <c r="H29" s="10" t="s">
        <v>33</v>
      </c>
      <c r="I29" s="10" t="str">
        <f aca="false">IFERROR(VLOOKUP(E29,Parameters!$G$6:$H$15,2,FALSE()),"")</f>
        <v>Bulldozers / excavators / loaders</v>
      </c>
      <c r="J29" s="10" t="str">
        <f aca="false">IFERROR(INDEX(Name_Map!$B$2:$B$102,MATCH(D29,Name_Map!$A$2:$A$102,0)),D29)</f>
        <v>Altiplano Trucks S.A.C.</v>
      </c>
      <c r="K29" s="22" t="n">
        <f aca="false">IF(F29&gt;0,G29/F29,0)</f>
        <v>12254.6666666667</v>
      </c>
      <c r="L29" s="10" t="str">
        <f aca="false">IF(AND(COUNTIFS($A$2:$A$307,A29,$E$2:$E$307,E29)&gt;1,COUNTIFS($A$2:$A$307,A29,$E$2:$E$307,E29,$G$2:$G$307,G29)=COUNTIFS($A$2:$A$307,A29,$E$2:$E$307,E29)),"CHECK","OK")</f>
        <v>OK</v>
      </c>
      <c r="M29" s="22" t="n">
        <f aca="false">IF(L29="CHECK",G29/SUMIFS($F$2:$F$307,$A$2:$A$307,A29,$E$2:$E$307,E29),K29)</f>
        <v>12254.6666666667</v>
      </c>
      <c r="N29" s="10" t="str">
        <f aca="false">IF(COUNTIF(Parameters!$E$6:$E$13,H29)&gt;0,"Yes","No")</f>
        <v>Yes</v>
      </c>
      <c r="O29" s="10" t="str">
        <f aca="false">IF(M29&lt;=Parameters!$B$3,IF(COUNTIF(Parameters!$A$6:$A$7,E29)&gt;0,"Vehicles","Out of scope"),IF(COUNTIF(Parameters!$C$6:$C$14,E29)&gt;0,"H&amp;H","Out of scope"))</f>
        <v>Out of scope</v>
      </c>
      <c r="P29" s="22" t="n">
        <f aca="false">M29*F29</f>
        <v>36764</v>
      </c>
    </row>
    <row r="30" customFormat="false" ht="15" hidden="false" customHeight="false" outlineLevel="0" collapsed="false">
      <c r="A30" s="10" t="s">
        <v>200</v>
      </c>
      <c r="B30" s="21" t="n">
        <v>45696</v>
      </c>
      <c r="C30" s="10" t="s">
        <v>158</v>
      </c>
      <c r="D30" s="10" t="s">
        <v>48</v>
      </c>
      <c r="E30" s="10" t="n">
        <v>8702</v>
      </c>
      <c r="F30" s="22" t="n">
        <v>4</v>
      </c>
      <c r="G30" s="22" t="n">
        <v>238296</v>
      </c>
      <c r="H30" s="10" t="s">
        <v>33</v>
      </c>
      <c r="I30" s="10" t="str">
        <f aca="false">IFERROR(VLOOKUP(E30,Parameters!$G$6:$H$15,2,FALSE()),"")</f>
        <v>Buses</v>
      </c>
      <c r="J30" s="10" t="str">
        <f aca="false">IFERROR(INDEX(Name_Map!$B$2:$B$102,MATCH(D30,Name_Map!$A$2:$A$102,0)),D30)</f>
        <v>Altiplano Trucks S.A.C.</v>
      </c>
      <c r="K30" s="22" t="n">
        <f aca="false">IF(F30&gt;0,G30/F30,0)</f>
        <v>59574</v>
      </c>
      <c r="L30" s="10" t="str">
        <f aca="false">IF(AND(COUNTIFS($A$2:$A$307,A30,$E$2:$E$307,E30)&gt;1,COUNTIFS($A$2:$A$307,A30,$E$2:$E$307,E30,$G$2:$G$307,G30)=COUNTIFS($A$2:$A$307,A30,$E$2:$E$307,E30)),"CHECK","OK")</f>
        <v>OK</v>
      </c>
      <c r="M30" s="22" t="n">
        <f aca="false">IF(L30="CHECK",G30/SUMIFS($F$2:$F$307,$A$2:$A$307,A30,$E$2:$E$307,E30),K30)</f>
        <v>59574</v>
      </c>
      <c r="N30" s="10" t="str">
        <f aca="false">IF(COUNTIF(Parameters!$E$6:$E$13,H30)&gt;0,"Yes","No")</f>
        <v>Yes</v>
      </c>
      <c r="O30" s="10" t="str">
        <f aca="false">IF(M30&lt;=Parameters!$B$3,IF(COUNTIF(Parameters!$A$6:$A$7,E30)&gt;0,"Vehicles","Out of scope"),IF(COUNTIF(Parameters!$C$6:$C$14,E30)&gt;0,"H&amp;H","Out of scope"))</f>
        <v>H&amp;H</v>
      </c>
      <c r="P30" s="22" t="n">
        <f aca="false">M30*F30</f>
        <v>238296</v>
      </c>
    </row>
    <row r="31" customFormat="false" ht="15" hidden="false" customHeight="false" outlineLevel="0" collapsed="false">
      <c r="A31" s="10" t="s">
        <v>201</v>
      </c>
      <c r="B31" s="21" t="n">
        <v>45698</v>
      </c>
      <c r="C31" s="10" t="s">
        <v>156</v>
      </c>
      <c r="D31" s="10" t="s">
        <v>55</v>
      </c>
      <c r="E31" s="10" t="n">
        <v>8704</v>
      </c>
      <c r="F31" s="22" t="n">
        <v>6</v>
      </c>
      <c r="G31" s="22" t="n">
        <v>15487</v>
      </c>
      <c r="H31" s="10" t="s">
        <v>37</v>
      </c>
      <c r="I31" s="10" t="str">
        <f aca="false">IFERROR(VLOOKUP(E31,Parameters!$G$6:$H$15,2,FALSE()),"")</f>
        <v>Goods vehicles (trucks)</v>
      </c>
      <c r="J31" s="10" t="str">
        <f aca="false">IFERROR(INDEX(Name_Map!$B$2:$B$102,MATCH(D31,Name_Map!$A$2:$A$102,0)),D31)</f>
        <v>Austral Truck Center SpA</v>
      </c>
      <c r="K31" s="22" t="n">
        <f aca="false">IF(F31&gt;0,G31/F31,0)</f>
        <v>2581.16666666667</v>
      </c>
      <c r="L31" s="10" t="str">
        <f aca="false">IF(AND(COUNTIFS($A$2:$A$307,A31,$E$2:$E$307,E31)&gt;1,COUNTIFS($A$2:$A$307,A31,$E$2:$E$307,E31,$G$2:$G$307,G31)=COUNTIFS($A$2:$A$307,A31,$E$2:$E$307,E31)),"CHECK","OK")</f>
        <v>OK</v>
      </c>
      <c r="M31" s="22" t="n">
        <f aca="false">IF(L31="CHECK",G31/SUMIFS($F$2:$F$307,$A$2:$A$307,A31,$E$2:$E$307,E31),K31)</f>
        <v>2581.16666666667</v>
      </c>
      <c r="N31" s="10" t="str">
        <f aca="false">IF(COUNTIF(Parameters!$E$6:$E$13,H31)&gt;0,"Yes","No")</f>
        <v>Yes</v>
      </c>
      <c r="O31" s="10" t="str">
        <f aca="false">IF(M31&lt;=Parameters!$B$3,IF(COUNTIF(Parameters!$A$6:$A$7,E31)&gt;0,"Vehicles","Out of scope"),IF(COUNTIF(Parameters!$C$6:$C$14,E31)&gt;0,"H&amp;H","Out of scope"))</f>
        <v>Vehicles</v>
      </c>
      <c r="P31" s="22" t="n">
        <f aca="false">M31*F31</f>
        <v>15487</v>
      </c>
    </row>
    <row r="32" customFormat="false" ht="15" hidden="false" customHeight="false" outlineLevel="0" collapsed="false">
      <c r="A32" s="10" t="s">
        <v>202</v>
      </c>
      <c r="B32" s="21" t="n">
        <v>45698</v>
      </c>
      <c r="C32" s="10" t="s">
        <v>156</v>
      </c>
      <c r="D32" s="10" t="s">
        <v>61</v>
      </c>
      <c r="E32" s="10" t="n">
        <v>8703</v>
      </c>
      <c r="F32" s="22" t="n">
        <v>31</v>
      </c>
      <c r="G32" s="22" t="n">
        <v>76001</v>
      </c>
      <c r="H32" s="10" t="s">
        <v>182</v>
      </c>
      <c r="I32" s="10" t="str">
        <f aca="false">IFERROR(VLOOKUP(E32,Parameters!$G$6:$H$15,2,FALSE()),"")</f>
        <v>Passenger cars</v>
      </c>
      <c r="J32" s="10" t="str">
        <f aca="false">IFERROR(INDEX(Name_Map!$B$2:$B$102,MATCH(D32,Name_Map!$A$2:$A$102,0)),D32)</f>
        <v>Andes Motor Group S.A.</v>
      </c>
      <c r="K32" s="22" t="n">
        <f aca="false">IF(F32&gt;0,G32/F32,0)</f>
        <v>2451.64516129032</v>
      </c>
      <c r="L32" s="10" t="str">
        <f aca="false">IF(AND(COUNTIFS($A$2:$A$307,A32,$E$2:$E$307,E32)&gt;1,COUNTIFS($A$2:$A$307,A32,$E$2:$E$307,E32,$G$2:$G$307,G32)=COUNTIFS($A$2:$A$307,A32,$E$2:$E$307,E32)),"CHECK","OK")</f>
        <v>OK</v>
      </c>
      <c r="M32" s="22" t="n">
        <f aca="false">IF(L32="CHECK",G32/SUMIFS($F$2:$F$307,$A$2:$A$307,A32,$E$2:$E$307,E32),K32)</f>
        <v>2451.64516129032</v>
      </c>
      <c r="N32" s="10" t="str">
        <f aca="false">IF(COUNTIF(Parameters!$E$6:$E$13,H32)&gt;0,"Yes","No")</f>
        <v>No</v>
      </c>
      <c r="O32" s="10" t="str">
        <f aca="false">IF(M32&lt;=Parameters!$B$3,IF(COUNTIF(Parameters!$A$6:$A$7,E32)&gt;0,"Vehicles","Out of scope"),IF(COUNTIF(Parameters!$C$6:$C$14,E32)&gt;0,"H&amp;H","Out of scope"))</f>
        <v>Vehicles</v>
      </c>
      <c r="P32" s="22" t="n">
        <f aca="false">M32*F32</f>
        <v>76001</v>
      </c>
    </row>
    <row r="33" customFormat="false" ht="15" hidden="false" customHeight="false" outlineLevel="0" collapsed="false">
      <c r="A33" s="10" t="s">
        <v>203</v>
      </c>
      <c r="B33" s="21" t="n">
        <v>45698</v>
      </c>
      <c r="C33" s="10" t="s">
        <v>156</v>
      </c>
      <c r="D33" s="10" t="s">
        <v>50</v>
      </c>
      <c r="E33" s="10" t="n">
        <v>8703</v>
      </c>
      <c r="F33" s="22" t="n">
        <v>10</v>
      </c>
      <c r="G33" s="22" t="n">
        <v>25080</v>
      </c>
      <c r="H33" s="10" t="s">
        <v>41</v>
      </c>
      <c r="I33" s="10" t="str">
        <f aca="false">IFERROR(VLOOKUP(E33,Parameters!$G$6:$H$15,2,FALSE()),"")</f>
        <v>Passenger cars</v>
      </c>
      <c r="J33" s="10" t="str">
        <f aca="false">IFERROR(INDEX(Name_Map!$B$2:$B$102,MATCH(D33,Name_Map!$A$2:$A$102,0)),D33)</f>
        <v>Andes Motor Group S.A.</v>
      </c>
      <c r="K33" s="22" t="n">
        <f aca="false">IF(F33&gt;0,G33/F33,0)</f>
        <v>2508</v>
      </c>
      <c r="L33" s="10" t="str">
        <f aca="false">IF(AND(COUNTIFS($A$2:$A$307,A33,$E$2:$E$307,E33)&gt;1,COUNTIFS($A$2:$A$307,A33,$E$2:$E$307,E33,$G$2:$G$307,G33)=COUNTIFS($A$2:$A$307,A33,$E$2:$E$307,E33)),"CHECK","OK")</f>
        <v>OK</v>
      </c>
      <c r="M33" s="22" t="n">
        <f aca="false">IF(L33="CHECK",G33/SUMIFS($F$2:$F$307,$A$2:$A$307,A33,$E$2:$E$307,E33),K33)</f>
        <v>2508</v>
      </c>
      <c r="N33" s="10" t="str">
        <f aca="false">IF(COUNTIF(Parameters!$E$6:$E$13,H33)&gt;0,"Yes","No")</f>
        <v>Yes</v>
      </c>
      <c r="O33" s="10" t="str">
        <f aca="false">IF(M33&lt;=Parameters!$B$3,IF(COUNTIF(Parameters!$A$6:$A$7,E33)&gt;0,"Vehicles","Out of scope"),IF(COUNTIF(Parameters!$C$6:$C$14,E33)&gt;0,"H&amp;H","Out of scope"))</f>
        <v>Vehicles</v>
      </c>
      <c r="P33" s="22" t="n">
        <f aca="false">M33*F33</f>
        <v>25080</v>
      </c>
    </row>
    <row r="34" customFormat="false" ht="15" hidden="false" customHeight="false" outlineLevel="0" collapsed="false">
      <c r="A34" s="10" t="s">
        <v>203</v>
      </c>
      <c r="B34" s="21" t="n">
        <v>45698</v>
      </c>
      <c r="C34" s="10" t="s">
        <v>156</v>
      </c>
      <c r="D34" s="10" t="s">
        <v>62</v>
      </c>
      <c r="E34" s="10" t="n">
        <v>8703</v>
      </c>
      <c r="F34" s="22" t="n">
        <v>18</v>
      </c>
      <c r="G34" s="22" t="n">
        <v>40194</v>
      </c>
      <c r="H34" s="10" t="s">
        <v>41</v>
      </c>
      <c r="I34" s="10" t="str">
        <f aca="false">IFERROR(VLOOKUP(E34,Parameters!$G$6:$H$15,2,FALSE()),"")</f>
        <v>Passenger cars</v>
      </c>
      <c r="J34" s="10" t="str">
        <f aca="false">IFERROR(INDEX(Name_Map!$B$2:$B$102,MATCH(D34,Name_Map!$A$2:$A$102,0)),D34)</f>
        <v>Andes Motor Group S.A.</v>
      </c>
      <c r="K34" s="22" t="n">
        <f aca="false">IF(F34&gt;0,G34/F34,0)</f>
        <v>2233</v>
      </c>
      <c r="L34" s="10" t="str">
        <f aca="false">IF(AND(COUNTIFS($A$2:$A$307,A34,$E$2:$E$307,E34)&gt;1,COUNTIFS($A$2:$A$307,A34,$E$2:$E$307,E34,$G$2:$G$307,G34)=COUNTIFS($A$2:$A$307,A34,$E$2:$E$307,E34)),"CHECK","OK")</f>
        <v>OK</v>
      </c>
      <c r="M34" s="22" t="n">
        <f aca="false">IF(L34="CHECK",G34/SUMIFS($F$2:$F$307,$A$2:$A$307,A34,$E$2:$E$307,E34),K34)</f>
        <v>2233</v>
      </c>
      <c r="N34" s="10" t="str">
        <f aca="false">IF(COUNTIF(Parameters!$E$6:$E$13,H34)&gt;0,"Yes","No")</f>
        <v>Yes</v>
      </c>
      <c r="O34" s="10" t="str">
        <f aca="false">IF(M34&lt;=Parameters!$B$3,IF(COUNTIF(Parameters!$A$6:$A$7,E34)&gt;0,"Vehicles","Out of scope"),IF(COUNTIF(Parameters!$C$6:$C$14,E34)&gt;0,"H&amp;H","Out of scope"))</f>
        <v>Vehicles</v>
      </c>
      <c r="P34" s="22" t="n">
        <f aca="false">M34*F34</f>
        <v>40194</v>
      </c>
    </row>
    <row r="35" customFormat="false" ht="15" hidden="false" customHeight="false" outlineLevel="0" collapsed="false">
      <c r="A35" s="10" t="s">
        <v>204</v>
      </c>
      <c r="B35" s="21" t="n">
        <v>45698</v>
      </c>
      <c r="C35" s="10" t="s">
        <v>159</v>
      </c>
      <c r="D35" s="10" t="s">
        <v>106</v>
      </c>
      <c r="E35" s="10" t="n">
        <v>8703</v>
      </c>
      <c r="F35" s="22" t="n">
        <v>12</v>
      </c>
      <c r="G35" s="22" t="n">
        <v>15686</v>
      </c>
      <c r="H35" s="10" t="s">
        <v>35</v>
      </c>
      <c r="I35" s="10" t="str">
        <f aca="false">IFERROR(VLOOKUP(E35,Parameters!$G$6:$H$15,2,FALSE()),"")</f>
        <v>Passenger cars</v>
      </c>
      <c r="J35" s="10" t="str">
        <f aca="false">IFERROR(INDEX(Name_Map!$B$2:$B$102,MATCH(D35,Name_Map!$A$2:$A$102,0)),D35)</f>
        <v>Guayas Autos S.A.</v>
      </c>
      <c r="K35" s="22" t="n">
        <f aca="false">IF(F35&gt;0,G35/F35,0)</f>
        <v>1307.16666666667</v>
      </c>
      <c r="L35" s="10" t="str">
        <f aca="false">IF(AND(COUNTIFS($A$2:$A$307,A35,$E$2:$E$307,E35)&gt;1,COUNTIFS($A$2:$A$307,A35,$E$2:$E$307,E35,$G$2:$G$307,G35)=COUNTIFS($A$2:$A$307,A35,$E$2:$E$307,E35)),"CHECK","OK")</f>
        <v>OK</v>
      </c>
      <c r="M35" s="22" t="n">
        <f aca="false">IF(L35="CHECK",G35/SUMIFS($F$2:$F$307,$A$2:$A$307,A35,$E$2:$E$307,E35),K35)</f>
        <v>1307.16666666667</v>
      </c>
      <c r="N35" s="10" t="str">
        <f aca="false">IF(COUNTIF(Parameters!$E$6:$E$13,H35)&gt;0,"Yes","No")</f>
        <v>Yes</v>
      </c>
      <c r="O35" s="10" t="str">
        <f aca="false">IF(M35&lt;=Parameters!$B$3,IF(COUNTIF(Parameters!$A$6:$A$7,E35)&gt;0,"Vehicles","Out of scope"),IF(COUNTIF(Parameters!$C$6:$C$14,E35)&gt;0,"H&amp;H","Out of scope"))</f>
        <v>Vehicles</v>
      </c>
      <c r="P35" s="22" t="n">
        <f aca="false">M35*F35</f>
        <v>15686</v>
      </c>
    </row>
    <row r="36" customFormat="false" ht="15" hidden="false" customHeight="false" outlineLevel="0" collapsed="false">
      <c r="A36" s="10" t="s">
        <v>205</v>
      </c>
      <c r="B36" s="21" t="n">
        <v>45702</v>
      </c>
      <c r="C36" s="10" t="s">
        <v>156</v>
      </c>
      <c r="D36" s="10" t="s">
        <v>49</v>
      </c>
      <c r="E36" s="10" t="n">
        <v>8703</v>
      </c>
      <c r="F36" s="22" t="n">
        <v>16</v>
      </c>
      <c r="G36" s="22" t="n">
        <v>35015</v>
      </c>
      <c r="H36" s="10" t="s">
        <v>27</v>
      </c>
      <c r="I36" s="10" t="str">
        <f aca="false">IFERROR(VLOOKUP(E36,Parameters!$G$6:$H$15,2,FALSE()),"")</f>
        <v>Passenger cars</v>
      </c>
      <c r="J36" s="10" t="str">
        <f aca="false">IFERROR(INDEX(Name_Map!$B$2:$B$102,MATCH(D36,Name_Map!$A$2:$A$102,0)),D36)</f>
        <v>Andes Motor Group S.A.</v>
      </c>
      <c r="K36" s="22" t="n">
        <f aca="false">IF(F36&gt;0,G36/F36,0)</f>
        <v>2188.4375</v>
      </c>
      <c r="L36" s="10" t="str">
        <f aca="false">IF(AND(COUNTIFS($A$2:$A$307,A36,$E$2:$E$307,E36)&gt;1,COUNTIFS($A$2:$A$307,A36,$E$2:$E$307,E36,$G$2:$G$307,G36)=COUNTIFS($A$2:$A$307,A36,$E$2:$E$307,E36)),"CHECK","OK")</f>
        <v>OK</v>
      </c>
      <c r="M36" s="22" t="n">
        <f aca="false">IF(L36="CHECK",G36/SUMIFS($F$2:$F$307,$A$2:$A$307,A36,$E$2:$E$307,E36),K36)</f>
        <v>2188.4375</v>
      </c>
      <c r="N36" s="10" t="str">
        <f aca="false">IF(COUNTIF(Parameters!$E$6:$E$13,H36)&gt;0,"Yes","No")</f>
        <v>Yes</v>
      </c>
      <c r="O36" s="10" t="str">
        <f aca="false">IF(M36&lt;=Parameters!$B$3,IF(COUNTIF(Parameters!$A$6:$A$7,E36)&gt;0,"Vehicles","Out of scope"),IF(COUNTIF(Parameters!$C$6:$C$14,E36)&gt;0,"H&amp;H","Out of scope"))</f>
        <v>Vehicles</v>
      </c>
      <c r="P36" s="22" t="n">
        <f aca="false">M36*F36</f>
        <v>35015</v>
      </c>
    </row>
    <row r="37" customFormat="false" ht="15" hidden="false" customHeight="false" outlineLevel="0" collapsed="false">
      <c r="A37" s="10" t="s">
        <v>206</v>
      </c>
      <c r="B37" s="21" t="n">
        <v>45704</v>
      </c>
      <c r="C37" s="10" t="s">
        <v>158</v>
      </c>
      <c r="D37" s="10" t="s">
        <v>60</v>
      </c>
      <c r="E37" s="10" t="n">
        <v>8704</v>
      </c>
      <c r="F37" s="22" t="n">
        <v>2</v>
      </c>
      <c r="G37" s="22" t="n">
        <v>26882</v>
      </c>
      <c r="H37" s="10" t="s">
        <v>180</v>
      </c>
      <c r="I37" s="10" t="str">
        <f aca="false">IFERROR(VLOOKUP(E37,Parameters!$G$6:$H$15,2,FALSE()),"")</f>
        <v>Goods vehicles (trucks)</v>
      </c>
      <c r="J37" s="10" t="str">
        <f aca="false">IFERROR(INDEX(Name_Map!$B$2:$B$102,MATCH(D37,Name_Map!$A$2:$A$102,0)),D37)</f>
        <v>Altiplano Trucks S.A.C.</v>
      </c>
      <c r="K37" s="22" t="n">
        <f aca="false">IF(F37&gt;0,G37/F37,0)</f>
        <v>13441</v>
      </c>
      <c r="L37" s="10" t="str">
        <f aca="false">IF(AND(COUNTIFS($A$2:$A$307,A37,$E$2:$E$307,E37)&gt;1,COUNTIFS($A$2:$A$307,A37,$E$2:$E$307,E37,$G$2:$G$307,G37)=COUNTIFS($A$2:$A$307,A37,$E$2:$E$307,E37)),"CHECK","OK")</f>
        <v>OK</v>
      </c>
      <c r="M37" s="22" t="n">
        <f aca="false">IF(L37="CHECK",G37/SUMIFS($F$2:$F$307,$A$2:$A$307,A37,$E$2:$E$307,E37),K37)</f>
        <v>13441</v>
      </c>
      <c r="N37" s="10" t="str">
        <f aca="false">IF(COUNTIF(Parameters!$E$6:$E$13,H37)&gt;0,"Yes","No")</f>
        <v>No</v>
      </c>
      <c r="O37" s="10" t="str">
        <f aca="false">IF(M37&lt;=Parameters!$B$3,IF(COUNTIF(Parameters!$A$6:$A$7,E37)&gt;0,"Vehicles","Out of scope"),IF(COUNTIF(Parameters!$C$6:$C$14,E37)&gt;0,"H&amp;H","Out of scope"))</f>
        <v>Vehicles</v>
      </c>
      <c r="P37" s="22" t="n">
        <f aca="false">M37*F37</f>
        <v>26882</v>
      </c>
    </row>
    <row r="38" customFormat="false" ht="15" hidden="false" customHeight="false" outlineLevel="0" collapsed="false">
      <c r="A38" s="10" t="s">
        <v>207</v>
      </c>
      <c r="B38" s="21" t="n">
        <v>45705</v>
      </c>
      <c r="C38" s="10" t="s">
        <v>156</v>
      </c>
      <c r="D38" s="10" t="s">
        <v>65</v>
      </c>
      <c r="E38" s="10" t="n">
        <v>8701</v>
      </c>
      <c r="F38" s="22" t="n">
        <v>3</v>
      </c>
      <c r="G38" s="22" t="n">
        <v>171779</v>
      </c>
      <c r="H38" s="10" t="s">
        <v>182</v>
      </c>
      <c r="I38" s="10" t="str">
        <f aca="false">IFERROR(VLOOKUP(E38,Parameters!$G$6:$H$15,2,FALSE()),"")</f>
        <v>Tractors</v>
      </c>
      <c r="J38" s="10" t="str">
        <f aca="false">IFERROR(INDEX(Name_Map!$B$2:$B$102,MATCH(D38,Name_Map!$A$2:$A$102,0)),D38)</f>
        <v>Atacama Equipos Mineros S.A.</v>
      </c>
      <c r="K38" s="22" t="n">
        <f aca="false">IF(F38&gt;0,G38/F38,0)</f>
        <v>57259.6666666667</v>
      </c>
      <c r="L38" s="10" t="str">
        <f aca="false">IF(AND(COUNTIFS($A$2:$A$307,A38,$E$2:$E$307,E38)&gt;1,COUNTIFS($A$2:$A$307,A38,$E$2:$E$307,E38,$G$2:$G$307,G38)=COUNTIFS($A$2:$A$307,A38,$E$2:$E$307,E38)),"CHECK","OK")</f>
        <v>OK</v>
      </c>
      <c r="M38" s="22" t="n">
        <f aca="false">IF(L38="CHECK",G38/SUMIFS($F$2:$F$307,$A$2:$A$307,A38,$E$2:$E$307,E38),K38)</f>
        <v>57259.6666666667</v>
      </c>
      <c r="N38" s="10" t="str">
        <f aca="false">IF(COUNTIF(Parameters!$E$6:$E$13,H38)&gt;0,"Yes","No")</f>
        <v>No</v>
      </c>
      <c r="O38" s="10" t="str">
        <f aca="false">IF(M38&lt;=Parameters!$B$3,IF(COUNTIF(Parameters!$A$6:$A$7,E38)&gt;0,"Vehicles","Out of scope"),IF(COUNTIF(Parameters!$C$6:$C$14,E38)&gt;0,"H&amp;H","Out of scope"))</f>
        <v>H&amp;H</v>
      </c>
      <c r="P38" s="22" t="n">
        <f aca="false">M38*F38</f>
        <v>171779</v>
      </c>
    </row>
    <row r="39" customFormat="false" ht="15" hidden="false" customHeight="false" outlineLevel="0" collapsed="false">
      <c r="A39" s="10" t="s">
        <v>208</v>
      </c>
      <c r="B39" s="21" t="n">
        <v>45708</v>
      </c>
      <c r="C39" s="10" t="s">
        <v>156</v>
      </c>
      <c r="D39" s="10" t="s">
        <v>50</v>
      </c>
      <c r="E39" s="10" t="n">
        <v>8703</v>
      </c>
      <c r="F39" s="22" t="n">
        <v>14</v>
      </c>
      <c r="G39" s="22" t="n">
        <v>31526</v>
      </c>
      <c r="H39" s="10" t="s">
        <v>37</v>
      </c>
      <c r="I39" s="10" t="str">
        <f aca="false">IFERROR(VLOOKUP(E39,Parameters!$G$6:$H$15,2,FALSE()),"")</f>
        <v>Passenger cars</v>
      </c>
      <c r="J39" s="10" t="str">
        <f aca="false">IFERROR(INDEX(Name_Map!$B$2:$B$102,MATCH(D39,Name_Map!$A$2:$A$102,0)),D39)</f>
        <v>Andes Motor Group S.A.</v>
      </c>
      <c r="K39" s="22" t="n">
        <f aca="false">IF(F39&gt;0,G39/F39,0)</f>
        <v>2251.85714285714</v>
      </c>
      <c r="L39" s="10" t="str">
        <f aca="false">IF(AND(COUNTIFS($A$2:$A$307,A39,$E$2:$E$307,E39)&gt;1,COUNTIFS($A$2:$A$307,A39,$E$2:$E$307,E39,$G$2:$G$307,G39)=COUNTIFS($A$2:$A$307,A39,$E$2:$E$307,E39)),"CHECK","OK")</f>
        <v>OK</v>
      </c>
      <c r="M39" s="22" t="n">
        <f aca="false">IF(L39="CHECK",G39/SUMIFS($F$2:$F$307,$A$2:$A$307,A39,$E$2:$E$307,E39),K39)</f>
        <v>2251.85714285714</v>
      </c>
      <c r="N39" s="10" t="str">
        <f aca="false">IF(COUNTIF(Parameters!$E$6:$E$13,H39)&gt;0,"Yes","No")</f>
        <v>Yes</v>
      </c>
      <c r="O39" s="10" t="str">
        <f aca="false">IF(M39&lt;=Parameters!$B$3,IF(COUNTIF(Parameters!$A$6:$A$7,E39)&gt;0,"Vehicles","Out of scope"),IF(COUNTIF(Parameters!$C$6:$C$14,E39)&gt;0,"H&amp;H","Out of scope"))</f>
        <v>Vehicles</v>
      </c>
      <c r="P39" s="22" t="n">
        <f aca="false">M39*F39</f>
        <v>31526</v>
      </c>
    </row>
    <row r="40" customFormat="false" ht="15" hidden="false" customHeight="false" outlineLevel="0" collapsed="false">
      <c r="A40" s="10" t="s">
        <v>209</v>
      </c>
      <c r="B40" s="21" t="n">
        <v>45710</v>
      </c>
      <c r="C40" s="10" t="s">
        <v>157</v>
      </c>
      <c r="D40" s="10" t="s">
        <v>121</v>
      </c>
      <c r="E40" s="10" t="n">
        <v>8429</v>
      </c>
      <c r="F40" s="22" t="n">
        <v>4</v>
      </c>
      <c r="G40" s="22" t="n">
        <v>75529</v>
      </c>
      <c r="H40" s="10" t="s">
        <v>186</v>
      </c>
      <c r="I40" s="10" t="str">
        <f aca="false">IFERROR(VLOOKUP(E40,Parameters!$G$6:$H$15,2,FALSE()),"")</f>
        <v>Bulldozers / excavators / loaders</v>
      </c>
      <c r="J40" s="10" t="str">
        <f aca="false">IFERROR(INDEX(Name_Map!$B$2:$B$102,MATCH(D40,Name_Map!$A$2:$A$102,0)),D40)</f>
        <v>Llanos Agro Equipos S.A.S.</v>
      </c>
      <c r="K40" s="22" t="n">
        <f aca="false">IF(F40&gt;0,G40/F40,0)</f>
        <v>18882.25</v>
      </c>
      <c r="L40" s="10" t="str">
        <f aca="false">IF(AND(COUNTIFS($A$2:$A$307,A40,$E$2:$E$307,E40)&gt;1,COUNTIFS($A$2:$A$307,A40,$E$2:$E$307,E40,$G$2:$G$307,G40)=COUNTIFS($A$2:$A$307,A40,$E$2:$E$307,E40)),"CHECK","OK")</f>
        <v>OK</v>
      </c>
      <c r="M40" s="22" t="n">
        <f aca="false">IF(L40="CHECK",G40/SUMIFS($F$2:$F$307,$A$2:$A$307,A40,$E$2:$E$307,E40),K40)</f>
        <v>18882.25</v>
      </c>
      <c r="N40" s="10" t="str">
        <f aca="false">IF(COUNTIF(Parameters!$E$6:$E$13,H40)&gt;0,"Yes","No")</f>
        <v>No</v>
      </c>
      <c r="O40" s="10" t="str">
        <f aca="false">IF(M40&lt;=Parameters!$B$3,IF(COUNTIF(Parameters!$A$6:$A$7,E40)&gt;0,"Vehicles","Out of scope"),IF(COUNTIF(Parameters!$C$6:$C$14,E40)&gt;0,"H&amp;H","Out of scope"))</f>
        <v>H&amp;H</v>
      </c>
      <c r="P40" s="22" t="n">
        <f aca="false">M40*F40</f>
        <v>75529</v>
      </c>
    </row>
    <row r="41" customFormat="false" ht="15" hidden="false" customHeight="false" outlineLevel="0" collapsed="false">
      <c r="A41" s="10" t="s">
        <v>210</v>
      </c>
      <c r="B41" s="21" t="n">
        <v>45714</v>
      </c>
      <c r="C41" s="10" t="s">
        <v>156</v>
      </c>
      <c r="D41" s="10" t="s">
        <v>56</v>
      </c>
      <c r="E41" s="10" t="n">
        <v>8704</v>
      </c>
      <c r="F41" s="22" t="n">
        <v>6</v>
      </c>
      <c r="G41" s="22" t="n">
        <v>32171</v>
      </c>
      <c r="H41" s="10" t="s">
        <v>31</v>
      </c>
      <c r="I41" s="10" t="str">
        <f aca="false">IFERROR(VLOOKUP(E41,Parameters!$G$6:$H$15,2,FALSE()),"")</f>
        <v>Goods vehicles (trucks)</v>
      </c>
      <c r="J41" s="10" t="str">
        <f aca="false">IFERROR(INDEX(Name_Map!$B$2:$B$102,MATCH(D41,Name_Map!$A$2:$A$102,0)),D41)</f>
        <v>Austral Truck Center SpA</v>
      </c>
      <c r="K41" s="22" t="n">
        <f aca="false">IF(F41&gt;0,G41/F41,0)</f>
        <v>5361.83333333333</v>
      </c>
      <c r="L41" s="10" t="str">
        <f aca="false">IF(AND(COUNTIFS($A$2:$A$307,A41,$E$2:$E$307,E41)&gt;1,COUNTIFS($A$2:$A$307,A41,$E$2:$E$307,E41,$G$2:$G$307,G41)=COUNTIFS($A$2:$A$307,A41,$E$2:$E$307,E41)),"CHECK","OK")</f>
        <v>OK</v>
      </c>
      <c r="M41" s="22" t="n">
        <f aca="false">IF(L41="CHECK",G41/SUMIFS($F$2:$F$307,$A$2:$A$307,A41,$E$2:$E$307,E41),K41)</f>
        <v>5361.83333333333</v>
      </c>
      <c r="N41" s="10" t="str">
        <f aca="false">IF(COUNTIF(Parameters!$E$6:$E$13,H41)&gt;0,"Yes","No")</f>
        <v>Yes</v>
      </c>
      <c r="O41" s="10" t="str">
        <f aca="false">IF(M41&lt;=Parameters!$B$3,IF(COUNTIF(Parameters!$A$6:$A$7,E41)&gt;0,"Vehicles","Out of scope"),IF(COUNTIF(Parameters!$C$6:$C$14,E41)&gt;0,"H&amp;H","Out of scope"))</f>
        <v>Vehicles</v>
      </c>
      <c r="P41" s="22" t="n">
        <f aca="false">M41*F41</f>
        <v>32171</v>
      </c>
    </row>
    <row r="42" customFormat="false" ht="15" hidden="false" customHeight="false" outlineLevel="0" collapsed="false">
      <c r="A42" s="10" t="s">
        <v>211</v>
      </c>
      <c r="B42" s="21" t="n">
        <v>45714</v>
      </c>
      <c r="C42" s="10" t="s">
        <v>158</v>
      </c>
      <c r="D42" s="10" t="s">
        <v>129</v>
      </c>
      <c r="E42" s="10" t="n">
        <v>8427</v>
      </c>
      <c r="F42" s="22" t="n">
        <v>2</v>
      </c>
      <c r="G42" s="22" t="n">
        <v>33074</v>
      </c>
      <c r="H42" s="10" t="s">
        <v>193</v>
      </c>
      <c r="I42" s="10" t="str">
        <f aca="false">IFERROR(VLOOKUP(E42,Parameters!$G$6:$H$15,2,FALSE()),"")</f>
        <v>Forklift trucks</v>
      </c>
      <c r="J42" s="10" t="str">
        <f aca="false">IFERROR(INDEX(Name_Map!$B$2:$B$102,MATCH(D42,Name_Map!$A$2:$A$102,0)),D42)</f>
        <v>Minera Equipos del Sur S.A.C.</v>
      </c>
      <c r="K42" s="22" t="n">
        <f aca="false">IF(F42&gt;0,G42/F42,0)</f>
        <v>16537</v>
      </c>
      <c r="L42" s="10" t="str">
        <f aca="false">IF(AND(COUNTIFS($A$2:$A$307,A42,$E$2:$E$307,E42)&gt;1,COUNTIFS($A$2:$A$307,A42,$E$2:$E$307,E42,$G$2:$G$307,G42)=COUNTIFS($A$2:$A$307,A42,$E$2:$E$307,E42)),"CHECK","OK")</f>
        <v>OK</v>
      </c>
      <c r="M42" s="22" t="n">
        <f aca="false">IF(L42="CHECK",G42/SUMIFS($F$2:$F$307,$A$2:$A$307,A42,$E$2:$E$307,E42),K42)</f>
        <v>16537</v>
      </c>
      <c r="N42" s="10" t="str">
        <f aca="false">IF(COUNTIF(Parameters!$E$6:$E$13,H42)&gt;0,"Yes","No")</f>
        <v>No</v>
      </c>
      <c r="O42" s="10" t="str">
        <f aca="false">IF(M42&lt;=Parameters!$B$3,IF(COUNTIF(Parameters!$A$6:$A$7,E42)&gt;0,"Vehicles","Out of scope"),IF(COUNTIF(Parameters!$C$6:$C$14,E42)&gt;0,"H&amp;H","Out of scope"))</f>
        <v>H&amp;H</v>
      </c>
      <c r="P42" s="22" t="n">
        <f aca="false">M42*F42</f>
        <v>33074</v>
      </c>
    </row>
    <row r="43" customFormat="false" ht="15" hidden="false" customHeight="false" outlineLevel="0" collapsed="false">
      <c r="A43" s="10" t="s">
        <v>212</v>
      </c>
      <c r="B43" s="21" t="n">
        <v>45715</v>
      </c>
      <c r="C43" s="10" t="s">
        <v>161</v>
      </c>
      <c r="D43" s="10" t="s">
        <v>112</v>
      </c>
      <c r="E43" s="10" t="n">
        <v>8703</v>
      </c>
      <c r="F43" s="22" t="n">
        <v>6</v>
      </c>
      <c r="G43" s="22" t="n">
        <v>8193</v>
      </c>
      <c r="H43" s="10" t="s">
        <v>39</v>
      </c>
      <c r="I43" s="10" t="str">
        <f aca="false">IFERROR(VLOOKUP(E43,Parameters!$G$6:$H$15,2,FALSE()),"")</f>
        <v>Passenger cars</v>
      </c>
      <c r="J43" s="10" t="str">
        <f aca="false">IFERROR(INDEX(Name_Map!$B$2:$B$102,MATCH(D43,Name_Map!$A$2:$A$102,0)),D43)</f>
        <v>Istmo Motors S.A.</v>
      </c>
      <c r="K43" s="22" t="n">
        <f aca="false">IF(F43&gt;0,G43/F43,0)</f>
        <v>1365.5</v>
      </c>
      <c r="L43" s="10" t="str">
        <f aca="false">IF(AND(COUNTIFS($A$2:$A$307,A43,$E$2:$E$307,E43)&gt;1,COUNTIFS($A$2:$A$307,A43,$E$2:$E$307,E43,$G$2:$G$307,G43)=COUNTIFS($A$2:$A$307,A43,$E$2:$E$307,E43)),"CHECK","OK")</f>
        <v>OK</v>
      </c>
      <c r="M43" s="22" t="n">
        <f aca="false">IF(L43="CHECK",G43/SUMIFS($F$2:$F$307,$A$2:$A$307,A43,$E$2:$E$307,E43),K43)</f>
        <v>1365.5</v>
      </c>
      <c r="N43" s="10" t="str">
        <f aca="false">IF(COUNTIF(Parameters!$E$6:$E$13,H43)&gt;0,"Yes","No")</f>
        <v>Yes</v>
      </c>
      <c r="O43" s="10" t="str">
        <f aca="false">IF(M43&lt;=Parameters!$B$3,IF(COUNTIF(Parameters!$A$6:$A$7,E43)&gt;0,"Vehicles","Out of scope"),IF(COUNTIF(Parameters!$C$6:$C$14,E43)&gt;0,"H&amp;H","Out of scope"))</f>
        <v>Vehicles</v>
      </c>
      <c r="P43" s="22" t="n">
        <f aca="false">M43*F43</f>
        <v>8193</v>
      </c>
    </row>
    <row r="44" customFormat="false" ht="15" hidden="false" customHeight="false" outlineLevel="0" collapsed="false">
      <c r="A44" s="10" t="s">
        <v>213</v>
      </c>
      <c r="B44" s="21" t="n">
        <v>45716</v>
      </c>
      <c r="C44" s="10" t="s">
        <v>157</v>
      </c>
      <c r="D44" s="10" t="s">
        <v>125</v>
      </c>
      <c r="E44" s="10" t="n">
        <v>8433</v>
      </c>
      <c r="F44" s="22" t="n">
        <v>1</v>
      </c>
      <c r="G44" s="22" t="n">
        <v>52396</v>
      </c>
      <c r="H44" s="10" t="s">
        <v>214</v>
      </c>
      <c r="I44" s="10" t="str">
        <f aca="false">IFERROR(VLOOKUP(E44,Parameters!$G$6:$H$15,2,FALSE()),"")</f>
        <v>Harvesting machinery</v>
      </c>
      <c r="J44" s="10" t="str">
        <f aca="false">IFERROR(INDEX(Name_Map!$B$2:$B$102,MATCH(D44,Name_Map!$A$2:$A$102,0)),D44)</f>
        <v>Llanos Agro Equipos S.A.S.</v>
      </c>
      <c r="K44" s="22" t="n">
        <f aca="false">IF(F44&gt;0,G44/F44,0)</f>
        <v>52396</v>
      </c>
      <c r="L44" s="10" t="str">
        <f aca="false">IF(AND(COUNTIFS($A$2:$A$307,A44,$E$2:$E$307,E44)&gt;1,COUNTIFS($A$2:$A$307,A44,$E$2:$E$307,E44,$G$2:$G$307,G44)=COUNTIFS($A$2:$A$307,A44,$E$2:$E$307,E44)),"CHECK","OK")</f>
        <v>OK</v>
      </c>
      <c r="M44" s="22" t="n">
        <f aca="false">IF(L44="CHECK",G44/SUMIFS($F$2:$F$307,$A$2:$A$307,A44,$E$2:$E$307,E44),K44)</f>
        <v>52396</v>
      </c>
      <c r="N44" s="10" t="str">
        <f aca="false">IF(COUNTIF(Parameters!$E$6:$E$13,H44)&gt;0,"Yes","No")</f>
        <v>No</v>
      </c>
      <c r="O44" s="10" t="str">
        <f aca="false">IF(M44&lt;=Parameters!$B$3,IF(COUNTIF(Parameters!$A$6:$A$7,E44)&gt;0,"Vehicles","Out of scope"),IF(COUNTIF(Parameters!$C$6:$C$14,E44)&gt;0,"H&amp;H","Out of scope"))</f>
        <v>H&amp;H</v>
      </c>
      <c r="P44" s="22" t="n">
        <f aca="false">M44*F44</f>
        <v>52396</v>
      </c>
    </row>
    <row r="45" customFormat="false" ht="15" hidden="false" customHeight="false" outlineLevel="0" collapsed="false">
      <c r="A45" s="10" t="s">
        <v>215</v>
      </c>
      <c r="B45" s="21" t="n">
        <v>45718</v>
      </c>
      <c r="C45" s="10" t="s">
        <v>161</v>
      </c>
      <c r="D45" s="10" t="s">
        <v>74</v>
      </c>
      <c r="E45" s="10" t="n">
        <v>8704</v>
      </c>
      <c r="F45" s="22" t="n">
        <v>21</v>
      </c>
      <c r="G45" s="22" t="n">
        <v>164971</v>
      </c>
      <c r="H45" s="10" t="s">
        <v>31</v>
      </c>
      <c r="I45" s="10" t="str">
        <f aca="false">IFERROR(VLOOKUP(E45,Parameters!$G$6:$H$15,2,FALSE()),"")</f>
        <v>Goods vehicles (trucks)</v>
      </c>
      <c r="J45" s="10" t="str">
        <f aca="false">IFERROR(INDEX(Name_Map!$B$2:$B$102,MATCH(D45,Name_Map!$A$2:$A$102,0)),D45)</f>
        <v>Canal Autos S.A.</v>
      </c>
      <c r="K45" s="22" t="n">
        <f aca="false">IF(F45&gt;0,G45/F45,0)</f>
        <v>7855.76190476191</v>
      </c>
      <c r="L45" s="10" t="str">
        <f aca="false">IF(AND(COUNTIFS($A$2:$A$307,A45,$E$2:$E$307,E45)&gt;1,COUNTIFS($A$2:$A$307,A45,$E$2:$E$307,E45,$G$2:$G$307,G45)=COUNTIFS($A$2:$A$307,A45,$E$2:$E$307,E45)),"CHECK","OK")</f>
        <v>OK</v>
      </c>
      <c r="M45" s="22" t="n">
        <f aca="false">IF(L45="CHECK",G45/SUMIFS($F$2:$F$307,$A$2:$A$307,A45,$E$2:$E$307,E45),K45)</f>
        <v>7855.76190476191</v>
      </c>
      <c r="N45" s="10" t="str">
        <f aca="false">IF(COUNTIF(Parameters!$E$6:$E$13,H45)&gt;0,"Yes","No")</f>
        <v>Yes</v>
      </c>
      <c r="O45" s="10" t="str">
        <f aca="false">IF(M45&lt;=Parameters!$B$3,IF(COUNTIF(Parameters!$A$6:$A$7,E45)&gt;0,"Vehicles","Out of scope"),IF(COUNTIF(Parameters!$C$6:$C$14,E45)&gt;0,"H&amp;H","Out of scope"))</f>
        <v>Vehicles</v>
      </c>
      <c r="P45" s="22" t="n">
        <f aca="false">M45*F45</f>
        <v>164971</v>
      </c>
    </row>
    <row r="46" customFormat="false" ht="15" hidden="false" customHeight="false" outlineLevel="0" collapsed="false">
      <c r="A46" s="10" t="s">
        <v>215</v>
      </c>
      <c r="B46" s="21" t="n">
        <v>45718</v>
      </c>
      <c r="C46" s="10" t="s">
        <v>161</v>
      </c>
      <c r="D46" s="10" t="s">
        <v>86</v>
      </c>
      <c r="E46" s="10" t="n">
        <v>8703</v>
      </c>
      <c r="F46" s="22" t="n">
        <v>16</v>
      </c>
      <c r="G46" s="22" t="n">
        <v>25629</v>
      </c>
      <c r="H46" s="10" t="s">
        <v>31</v>
      </c>
      <c r="I46" s="10" t="str">
        <f aca="false">IFERROR(VLOOKUP(E46,Parameters!$G$6:$H$15,2,FALSE()),"")</f>
        <v>Passenger cars</v>
      </c>
      <c r="J46" s="10" t="str">
        <f aca="false">IFERROR(INDEX(Name_Map!$B$2:$B$102,MATCH(D46,Name_Map!$A$2:$A$102,0)),D46)</f>
        <v>Canal Autos S.A.</v>
      </c>
      <c r="K46" s="22" t="n">
        <f aca="false">IF(F46&gt;0,G46/F46,0)</f>
        <v>1601.8125</v>
      </c>
      <c r="L46" s="10" t="str">
        <f aca="false">IF(AND(COUNTIFS($A$2:$A$307,A46,$E$2:$E$307,E46)&gt;1,COUNTIFS($A$2:$A$307,A46,$E$2:$E$307,E46,$G$2:$G$307,G46)=COUNTIFS($A$2:$A$307,A46,$E$2:$E$307,E46)),"CHECK","OK")</f>
        <v>OK</v>
      </c>
      <c r="M46" s="22" t="n">
        <f aca="false">IF(L46="CHECK",G46/SUMIFS($F$2:$F$307,$A$2:$A$307,A46,$E$2:$E$307,E46),K46)</f>
        <v>1601.8125</v>
      </c>
      <c r="N46" s="10" t="str">
        <f aca="false">IF(COUNTIF(Parameters!$E$6:$E$13,H46)&gt;0,"Yes","No")</f>
        <v>Yes</v>
      </c>
      <c r="O46" s="10" t="str">
        <f aca="false">IF(M46&lt;=Parameters!$B$3,IF(COUNTIF(Parameters!$A$6:$A$7,E46)&gt;0,"Vehicles","Out of scope"),IF(COUNTIF(Parameters!$C$6:$C$14,E46)&gt;0,"H&amp;H","Out of scope"))</f>
        <v>Vehicles</v>
      </c>
      <c r="P46" s="22" t="n">
        <f aca="false">M46*F46</f>
        <v>25629</v>
      </c>
    </row>
    <row r="47" customFormat="false" ht="15" hidden="false" customHeight="false" outlineLevel="0" collapsed="false">
      <c r="A47" s="10" t="s">
        <v>216</v>
      </c>
      <c r="B47" s="21" t="n">
        <v>45719</v>
      </c>
      <c r="C47" s="10" t="s">
        <v>157</v>
      </c>
      <c r="D47" s="10" t="s">
        <v>126</v>
      </c>
      <c r="E47" s="10" t="n">
        <v>8430</v>
      </c>
      <c r="F47" s="22" t="n">
        <v>2</v>
      </c>
      <c r="G47" s="22" t="n">
        <v>94539</v>
      </c>
      <c r="H47" s="10" t="s">
        <v>180</v>
      </c>
      <c r="I47" s="10" t="str">
        <f aca="false">IFERROR(VLOOKUP(E47,Parameters!$G$6:$H$15,2,FALSE()),"")</f>
        <v>Other earthmoving / drilling machinery</v>
      </c>
      <c r="J47" s="10" t="str">
        <f aca="false">IFERROR(INDEX(Name_Map!$B$2:$B$102,MATCH(D47,Name_Map!$A$2:$A$102,0)),D47)</f>
        <v>Maquinaria Andina S.A.S.</v>
      </c>
      <c r="K47" s="22" t="n">
        <f aca="false">IF(F47&gt;0,G47/F47,0)</f>
        <v>47269.5</v>
      </c>
      <c r="L47" s="10" t="str">
        <f aca="false">IF(AND(COUNTIFS($A$2:$A$307,A47,$E$2:$E$307,E47)&gt;1,COUNTIFS($A$2:$A$307,A47,$E$2:$E$307,E47,$G$2:$G$307,G47)=COUNTIFS($A$2:$A$307,A47,$E$2:$E$307,E47)),"CHECK","OK")</f>
        <v>OK</v>
      </c>
      <c r="M47" s="22" t="n">
        <f aca="false">IF(L47="CHECK",G47/SUMIFS($F$2:$F$307,$A$2:$A$307,A47,$E$2:$E$307,E47),K47)</f>
        <v>47269.5</v>
      </c>
      <c r="N47" s="10" t="str">
        <f aca="false">IF(COUNTIF(Parameters!$E$6:$E$13,H47)&gt;0,"Yes","No")</f>
        <v>No</v>
      </c>
      <c r="O47" s="10" t="str">
        <f aca="false">IF(M47&lt;=Parameters!$B$3,IF(COUNTIF(Parameters!$A$6:$A$7,E47)&gt;0,"Vehicles","Out of scope"),IF(COUNTIF(Parameters!$C$6:$C$14,E47)&gt;0,"H&amp;H","Out of scope"))</f>
        <v>H&amp;H</v>
      </c>
      <c r="P47" s="22" t="n">
        <f aca="false">M47*F47</f>
        <v>94539</v>
      </c>
    </row>
    <row r="48" customFormat="false" ht="15" hidden="false" customHeight="false" outlineLevel="0" collapsed="false">
      <c r="A48" s="10" t="s">
        <v>216</v>
      </c>
      <c r="B48" s="21" t="n">
        <v>45719</v>
      </c>
      <c r="C48" s="10" t="s">
        <v>157</v>
      </c>
      <c r="D48" s="10" t="s">
        <v>126</v>
      </c>
      <c r="E48" s="10" t="n">
        <v>8430</v>
      </c>
      <c r="F48" s="22" t="n">
        <v>3</v>
      </c>
      <c r="G48" s="22" t="n">
        <v>84709</v>
      </c>
      <c r="H48" s="10" t="s">
        <v>180</v>
      </c>
      <c r="I48" s="10" t="str">
        <f aca="false">IFERROR(VLOOKUP(E48,Parameters!$G$6:$H$15,2,FALSE()),"")</f>
        <v>Other earthmoving / drilling machinery</v>
      </c>
      <c r="J48" s="10" t="str">
        <f aca="false">IFERROR(INDEX(Name_Map!$B$2:$B$102,MATCH(D48,Name_Map!$A$2:$A$102,0)),D48)</f>
        <v>Maquinaria Andina S.A.S.</v>
      </c>
      <c r="K48" s="22" t="n">
        <f aca="false">IF(F48&gt;0,G48/F48,0)</f>
        <v>28236.3333333333</v>
      </c>
      <c r="L48" s="10" t="str">
        <f aca="false">IF(AND(COUNTIFS($A$2:$A$307,A48,$E$2:$E$307,E48)&gt;1,COUNTIFS($A$2:$A$307,A48,$E$2:$E$307,E48,$G$2:$G$307,G48)=COUNTIFS($A$2:$A$307,A48,$E$2:$E$307,E48)),"CHECK","OK")</f>
        <v>OK</v>
      </c>
      <c r="M48" s="22" t="n">
        <f aca="false">IF(L48="CHECK",G48/SUMIFS($F$2:$F$307,$A$2:$A$307,A48,$E$2:$E$307,E48),K48)</f>
        <v>28236.3333333333</v>
      </c>
      <c r="N48" s="10" t="str">
        <f aca="false">IF(COUNTIF(Parameters!$E$6:$E$13,H48)&gt;0,"Yes","No")</f>
        <v>No</v>
      </c>
      <c r="O48" s="10" t="str">
        <f aca="false">IF(M48&lt;=Parameters!$B$3,IF(COUNTIF(Parameters!$A$6:$A$7,E48)&gt;0,"Vehicles","Out of scope"),IF(COUNTIF(Parameters!$C$6:$C$14,E48)&gt;0,"H&amp;H","Out of scope"))</f>
        <v>H&amp;H</v>
      </c>
      <c r="P48" s="22" t="n">
        <f aca="false">M48*F48</f>
        <v>84709</v>
      </c>
    </row>
    <row r="49" customFormat="false" ht="15" hidden="false" customHeight="false" outlineLevel="0" collapsed="false">
      <c r="A49" s="10" t="s">
        <v>217</v>
      </c>
      <c r="B49" s="21" t="n">
        <v>45720</v>
      </c>
      <c r="C49" s="10" t="s">
        <v>160</v>
      </c>
      <c r="D49" s="10" t="s">
        <v>140</v>
      </c>
      <c r="E49" s="10" t="n">
        <v>8703</v>
      </c>
      <c r="F49" s="22" t="n">
        <v>20</v>
      </c>
      <c r="G49" s="22" t="n">
        <v>38773</v>
      </c>
      <c r="H49" s="10" t="s">
        <v>33</v>
      </c>
      <c r="I49" s="10" t="str">
        <f aca="false">IFERROR(VLOOKUP(E49,Parameters!$G$6:$H$15,2,FALSE()),"")</f>
        <v>Passenger cars</v>
      </c>
      <c r="J49" s="10" t="str">
        <f aca="false">IFERROR(INDEX(Name_Map!$B$2:$B$102,MATCH(D49,Name_Map!$A$2:$A$102,0)),D49)</f>
        <v>Quisqueya Motors S.R.L.</v>
      </c>
      <c r="K49" s="22" t="n">
        <f aca="false">IF(F49&gt;0,G49/F49,0)</f>
        <v>1938.65</v>
      </c>
      <c r="L49" s="10" t="str">
        <f aca="false">IF(AND(COUNTIFS($A$2:$A$307,A49,$E$2:$E$307,E49)&gt;1,COUNTIFS($A$2:$A$307,A49,$E$2:$E$307,E49,$G$2:$G$307,G49)=COUNTIFS($A$2:$A$307,A49,$E$2:$E$307,E49)),"CHECK","OK")</f>
        <v>OK</v>
      </c>
      <c r="M49" s="22" t="n">
        <f aca="false">IF(L49="CHECK",G49/SUMIFS($F$2:$F$307,$A$2:$A$307,A49,$E$2:$E$307,E49),K49)</f>
        <v>1938.65</v>
      </c>
      <c r="N49" s="10" t="str">
        <f aca="false">IF(COUNTIF(Parameters!$E$6:$E$13,H49)&gt;0,"Yes","No")</f>
        <v>Yes</v>
      </c>
      <c r="O49" s="10" t="str">
        <f aca="false">IF(M49&lt;=Parameters!$B$3,IF(COUNTIF(Parameters!$A$6:$A$7,E49)&gt;0,"Vehicles","Out of scope"),IF(COUNTIF(Parameters!$C$6:$C$14,E49)&gt;0,"H&amp;H","Out of scope"))</f>
        <v>Vehicles</v>
      </c>
      <c r="P49" s="22" t="n">
        <f aca="false">M49*F49</f>
        <v>38773</v>
      </c>
    </row>
    <row r="50" customFormat="false" ht="15" hidden="false" customHeight="false" outlineLevel="0" collapsed="false">
      <c r="A50" s="10" t="s">
        <v>218</v>
      </c>
      <c r="B50" s="21" t="n">
        <v>45722</v>
      </c>
      <c r="C50" s="10" t="s">
        <v>158</v>
      </c>
      <c r="D50" s="10" t="s">
        <v>47</v>
      </c>
      <c r="E50" s="10" t="n">
        <v>8704</v>
      </c>
      <c r="F50" s="22" t="n">
        <v>2</v>
      </c>
      <c r="G50" s="22" t="n">
        <v>36372</v>
      </c>
      <c r="H50" s="10" t="s">
        <v>29</v>
      </c>
      <c r="I50" s="10" t="str">
        <f aca="false">IFERROR(VLOOKUP(E50,Parameters!$G$6:$H$15,2,FALSE()),"")</f>
        <v>Goods vehicles (trucks)</v>
      </c>
      <c r="J50" s="10" t="str">
        <f aca="false">IFERROR(INDEX(Name_Map!$B$2:$B$102,MATCH(D50,Name_Map!$A$2:$A$102,0)),D50)</f>
        <v>Altiplano Trucks S.A.C.</v>
      </c>
      <c r="K50" s="22" t="n">
        <f aca="false">IF(F50&gt;0,G50/F50,0)</f>
        <v>18186</v>
      </c>
      <c r="L50" s="10" t="str">
        <f aca="false">IF(AND(COUNTIFS($A$2:$A$307,A50,$E$2:$E$307,E50)&gt;1,COUNTIFS($A$2:$A$307,A50,$E$2:$E$307,E50,$G$2:$G$307,G50)=COUNTIFS($A$2:$A$307,A50,$E$2:$E$307,E50)),"CHECK","OK")</f>
        <v>CHECK</v>
      </c>
      <c r="M50" s="22" t="n">
        <f aca="false">IF(L50="CHECK",G50/SUMIFS($F$2:$F$307,$A$2:$A$307,A50,$E$2:$E$307,E50),K50)</f>
        <v>6062</v>
      </c>
      <c r="N50" s="10" t="str">
        <f aca="false">IF(COUNTIF(Parameters!$E$6:$E$13,H50)&gt;0,"Yes","No")</f>
        <v>Yes</v>
      </c>
      <c r="O50" s="10" t="str">
        <f aca="false">IF(M50&lt;=Parameters!$B$3,IF(COUNTIF(Parameters!$A$6:$A$7,E50)&gt;0,"Vehicles","Out of scope"),IF(COUNTIF(Parameters!$C$6:$C$14,E50)&gt;0,"H&amp;H","Out of scope"))</f>
        <v>Vehicles</v>
      </c>
      <c r="P50" s="22" t="n">
        <f aca="false">M50*F50</f>
        <v>12124</v>
      </c>
    </row>
    <row r="51" customFormat="false" ht="15" hidden="false" customHeight="false" outlineLevel="0" collapsed="false">
      <c r="A51" s="10" t="s">
        <v>218</v>
      </c>
      <c r="B51" s="21" t="n">
        <v>45722</v>
      </c>
      <c r="C51" s="10" t="s">
        <v>158</v>
      </c>
      <c r="D51" s="10" t="s">
        <v>48</v>
      </c>
      <c r="E51" s="10" t="n">
        <v>8704</v>
      </c>
      <c r="F51" s="22" t="n">
        <v>3</v>
      </c>
      <c r="G51" s="22" t="n">
        <v>36372</v>
      </c>
      <c r="H51" s="10" t="s">
        <v>37</v>
      </c>
      <c r="I51" s="10" t="str">
        <f aca="false">IFERROR(VLOOKUP(E51,Parameters!$G$6:$H$15,2,FALSE()),"")</f>
        <v>Goods vehicles (trucks)</v>
      </c>
      <c r="J51" s="10" t="str">
        <f aca="false">IFERROR(INDEX(Name_Map!$B$2:$B$102,MATCH(D51,Name_Map!$A$2:$A$102,0)),D51)</f>
        <v>Altiplano Trucks S.A.C.</v>
      </c>
      <c r="K51" s="22" t="n">
        <f aca="false">IF(F51&gt;0,G51/F51,0)</f>
        <v>12124</v>
      </c>
      <c r="L51" s="10" t="str">
        <f aca="false">IF(AND(COUNTIFS($A$2:$A$307,A51,$E$2:$E$307,E51)&gt;1,COUNTIFS($A$2:$A$307,A51,$E$2:$E$307,E51,$G$2:$G$307,G51)=COUNTIFS($A$2:$A$307,A51,$E$2:$E$307,E51)),"CHECK","OK")</f>
        <v>CHECK</v>
      </c>
      <c r="M51" s="22" t="n">
        <f aca="false">IF(L51="CHECK",G51/SUMIFS($F$2:$F$307,$A$2:$A$307,A51,$E$2:$E$307,E51),K51)</f>
        <v>6062</v>
      </c>
      <c r="N51" s="10" t="str">
        <f aca="false">IF(COUNTIF(Parameters!$E$6:$E$13,H51)&gt;0,"Yes","No")</f>
        <v>Yes</v>
      </c>
      <c r="O51" s="10" t="str">
        <f aca="false">IF(M51&lt;=Parameters!$B$3,IF(COUNTIF(Parameters!$A$6:$A$7,E51)&gt;0,"Vehicles","Out of scope"),IF(COUNTIF(Parameters!$C$6:$C$14,E51)&gt;0,"H&amp;H","Out of scope"))</f>
        <v>Vehicles</v>
      </c>
      <c r="P51" s="22" t="n">
        <f aca="false">M51*F51</f>
        <v>18186</v>
      </c>
    </row>
    <row r="52" customFormat="false" ht="15" hidden="false" customHeight="false" outlineLevel="0" collapsed="false">
      <c r="A52" s="10" t="s">
        <v>218</v>
      </c>
      <c r="B52" s="21" t="n">
        <v>45722</v>
      </c>
      <c r="C52" s="10" t="s">
        <v>158</v>
      </c>
      <c r="D52" s="10" t="s">
        <v>47</v>
      </c>
      <c r="E52" s="10" t="n">
        <v>8704</v>
      </c>
      <c r="F52" s="22" t="n">
        <v>1</v>
      </c>
      <c r="G52" s="22" t="n">
        <v>36372</v>
      </c>
      <c r="H52" s="10" t="s">
        <v>29</v>
      </c>
      <c r="I52" s="10" t="str">
        <f aca="false">IFERROR(VLOOKUP(E52,Parameters!$G$6:$H$15,2,FALSE()),"")</f>
        <v>Goods vehicles (trucks)</v>
      </c>
      <c r="J52" s="10" t="str">
        <f aca="false">IFERROR(INDEX(Name_Map!$B$2:$B$102,MATCH(D52,Name_Map!$A$2:$A$102,0)),D52)</f>
        <v>Altiplano Trucks S.A.C.</v>
      </c>
      <c r="K52" s="22" t="n">
        <f aca="false">IF(F52&gt;0,G52/F52,0)</f>
        <v>36372</v>
      </c>
      <c r="L52" s="10" t="str">
        <f aca="false">IF(AND(COUNTIFS($A$2:$A$307,A52,$E$2:$E$307,E52)&gt;1,COUNTIFS($A$2:$A$307,A52,$E$2:$E$307,E52,$G$2:$G$307,G52)=COUNTIFS($A$2:$A$307,A52,$E$2:$E$307,E52)),"CHECK","OK")</f>
        <v>CHECK</v>
      </c>
      <c r="M52" s="22" t="n">
        <f aca="false">IF(L52="CHECK",G52/SUMIFS($F$2:$F$307,$A$2:$A$307,A52,$E$2:$E$307,E52),K52)</f>
        <v>6062</v>
      </c>
      <c r="N52" s="10" t="str">
        <f aca="false">IF(COUNTIF(Parameters!$E$6:$E$13,H52)&gt;0,"Yes","No")</f>
        <v>Yes</v>
      </c>
      <c r="O52" s="10" t="str">
        <f aca="false">IF(M52&lt;=Parameters!$B$3,IF(COUNTIF(Parameters!$A$6:$A$7,E52)&gt;0,"Vehicles","Out of scope"),IF(COUNTIF(Parameters!$C$6:$C$14,E52)&gt;0,"H&amp;H","Out of scope"))</f>
        <v>Vehicles</v>
      </c>
      <c r="P52" s="22" t="n">
        <f aca="false">M52*F52</f>
        <v>6062</v>
      </c>
    </row>
    <row r="53" customFormat="false" ht="15" hidden="false" customHeight="false" outlineLevel="0" collapsed="false">
      <c r="A53" s="10" t="s">
        <v>219</v>
      </c>
      <c r="B53" s="21" t="n">
        <v>45724</v>
      </c>
      <c r="C53" s="10" t="s">
        <v>160</v>
      </c>
      <c r="D53" s="10" t="s">
        <v>138</v>
      </c>
      <c r="E53" s="10" t="n">
        <v>8703</v>
      </c>
      <c r="F53" s="22" t="n">
        <v>32</v>
      </c>
      <c r="G53" s="22" t="n">
        <v>71284</v>
      </c>
      <c r="H53" s="10" t="s">
        <v>193</v>
      </c>
      <c r="I53" s="10" t="str">
        <f aca="false">IFERROR(VLOOKUP(E53,Parameters!$G$6:$H$15,2,FALSE()),"")</f>
        <v>Passenger cars</v>
      </c>
      <c r="J53" s="10" t="str">
        <f aca="false">IFERROR(INDEX(Name_Map!$B$2:$B$102,MATCH(D53,Name_Map!$A$2:$A$102,0)),D53)</f>
        <v>Quisqueya Motors S.R.L.</v>
      </c>
      <c r="K53" s="22" t="n">
        <f aca="false">IF(F53&gt;0,G53/F53,0)</f>
        <v>2227.625</v>
      </c>
      <c r="L53" s="10" t="str">
        <f aca="false">IF(AND(COUNTIFS($A$2:$A$307,A53,$E$2:$E$307,E53)&gt;1,COUNTIFS($A$2:$A$307,A53,$E$2:$E$307,E53,$G$2:$G$307,G53)=COUNTIFS($A$2:$A$307,A53,$E$2:$E$307,E53)),"CHECK","OK")</f>
        <v>OK</v>
      </c>
      <c r="M53" s="22" t="n">
        <f aca="false">IF(L53="CHECK",G53/SUMIFS($F$2:$F$307,$A$2:$A$307,A53,$E$2:$E$307,E53),K53)</f>
        <v>2227.625</v>
      </c>
      <c r="N53" s="10" t="str">
        <f aca="false">IF(COUNTIF(Parameters!$E$6:$E$13,H53)&gt;0,"Yes","No")</f>
        <v>No</v>
      </c>
      <c r="O53" s="10" t="str">
        <f aca="false">IF(M53&lt;=Parameters!$B$3,IF(COUNTIF(Parameters!$A$6:$A$7,E53)&gt;0,"Vehicles","Out of scope"),IF(COUNTIF(Parameters!$C$6:$C$14,E53)&gt;0,"H&amp;H","Out of scope"))</f>
        <v>Vehicles</v>
      </c>
      <c r="P53" s="22" t="n">
        <f aca="false">M53*F53</f>
        <v>71284</v>
      </c>
    </row>
    <row r="54" customFormat="false" ht="15" hidden="false" customHeight="false" outlineLevel="0" collapsed="false">
      <c r="A54" s="10" t="s">
        <v>220</v>
      </c>
      <c r="B54" s="21" t="n">
        <v>45726</v>
      </c>
      <c r="C54" s="10" t="s">
        <v>160</v>
      </c>
      <c r="D54" s="10" t="s">
        <v>138</v>
      </c>
      <c r="E54" s="10" t="n">
        <v>8703</v>
      </c>
      <c r="F54" s="22" t="n">
        <v>32</v>
      </c>
      <c r="G54" s="22" t="n">
        <v>78193</v>
      </c>
      <c r="H54" s="10" t="s">
        <v>37</v>
      </c>
      <c r="I54" s="10" t="str">
        <f aca="false">IFERROR(VLOOKUP(E54,Parameters!$G$6:$H$15,2,FALSE()),"")</f>
        <v>Passenger cars</v>
      </c>
      <c r="J54" s="10" t="str">
        <f aca="false">IFERROR(INDEX(Name_Map!$B$2:$B$102,MATCH(D54,Name_Map!$A$2:$A$102,0)),D54)</f>
        <v>Quisqueya Motors S.R.L.</v>
      </c>
      <c r="K54" s="22" t="n">
        <f aca="false">IF(F54&gt;0,G54/F54,0)</f>
        <v>2443.53125</v>
      </c>
      <c r="L54" s="10" t="str">
        <f aca="false">IF(AND(COUNTIFS($A$2:$A$307,A54,$E$2:$E$307,E54)&gt;1,COUNTIFS($A$2:$A$307,A54,$E$2:$E$307,E54,$G$2:$G$307,G54)=COUNTIFS($A$2:$A$307,A54,$E$2:$E$307,E54)),"CHECK","OK")</f>
        <v>OK</v>
      </c>
      <c r="M54" s="22" t="n">
        <f aca="false">IF(L54="CHECK",G54/SUMIFS($F$2:$F$307,$A$2:$A$307,A54,$E$2:$E$307,E54),K54)</f>
        <v>2443.53125</v>
      </c>
      <c r="N54" s="10" t="str">
        <f aca="false">IF(COUNTIF(Parameters!$E$6:$E$13,H54)&gt;0,"Yes","No")</f>
        <v>Yes</v>
      </c>
      <c r="O54" s="10" t="str">
        <f aca="false">IF(M54&lt;=Parameters!$B$3,IF(COUNTIF(Parameters!$A$6:$A$7,E54)&gt;0,"Vehicles","Out of scope"),IF(COUNTIF(Parameters!$C$6:$C$14,E54)&gt;0,"H&amp;H","Out of scope"))</f>
        <v>Vehicles</v>
      </c>
      <c r="P54" s="22" t="n">
        <f aca="false">M54*F54</f>
        <v>78193</v>
      </c>
    </row>
    <row r="55" customFormat="false" ht="15" hidden="false" customHeight="false" outlineLevel="0" collapsed="false">
      <c r="A55" s="10" t="s">
        <v>220</v>
      </c>
      <c r="B55" s="21" t="n">
        <v>45726</v>
      </c>
      <c r="C55" s="10" t="s">
        <v>160</v>
      </c>
      <c r="D55" s="10" t="s">
        <v>138</v>
      </c>
      <c r="E55" s="10" t="n">
        <v>8703</v>
      </c>
      <c r="F55" s="22" t="n">
        <v>31</v>
      </c>
      <c r="G55" s="22" t="n">
        <v>37980</v>
      </c>
      <c r="H55" s="10" t="s">
        <v>37</v>
      </c>
      <c r="I55" s="10" t="str">
        <f aca="false">IFERROR(VLOOKUP(E55,Parameters!$G$6:$H$15,2,FALSE()),"")</f>
        <v>Passenger cars</v>
      </c>
      <c r="J55" s="10" t="str">
        <f aca="false">IFERROR(INDEX(Name_Map!$B$2:$B$102,MATCH(D55,Name_Map!$A$2:$A$102,0)),D55)</f>
        <v>Quisqueya Motors S.R.L.</v>
      </c>
      <c r="K55" s="22" t="n">
        <f aca="false">IF(F55&gt;0,G55/F55,0)</f>
        <v>1225.16129032258</v>
      </c>
      <c r="L55" s="10" t="str">
        <f aca="false">IF(AND(COUNTIFS($A$2:$A$307,A55,$E$2:$E$307,E55)&gt;1,COUNTIFS($A$2:$A$307,A55,$E$2:$E$307,E55,$G$2:$G$307,G55)=COUNTIFS($A$2:$A$307,A55,$E$2:$E$307,E55)),"CHECK","OK")</f>
        <v>OK</v>
      </c>
      <c r="M55" s="22" t="n">
        <f aca="false">IF(L55="CHECK",G55/SUMIFS($F$2:$F$307,$A$2:$A$307,A55,$E$2:$E$307,E55),K55)</f>
        <v>1225.16129032258</v>
      </c>
      <c r="N55" s="10" t="str">
        <f aca="false">IF(COUNTIF(Parameters!$E$6:$E$13,H55)&gt;0,"Yes","No")</f>
        <v>Yes</v>
      </c>
      <c r="O55" s="10" t="str">
        <f aca="false">IF(M55&lt;=Parameters!$B$3,IF(COUNTIF(Parameters!$A$6:$A$7,E55)&gt;0,"Vehicles","Out of scope"),IF(COUNTIF(Parameters!$C$6:$C$14,E55)&gt;0,"H&amp;H","Out of scope"))</f>
        <v>Vehicles</v>
      </c>
      <c r="P55" s="22" t="n">
        <f aca="false">M55*F55</f>
        <v>37980</v>
      </c>
    </row>
    <row r="56" customFormat="false" ht="15" hidden="false" customHeight="false" outlineLevel="0" collapsed="false">
      <c r="A56" s="10" t="s">
        <v>221</v>
      </c>
      <c r="B56" s="21" t="n">
        <v>45728</v>
      </c>
      <c r="C56" s="10" t="s">
        <v>159</v>
      </c>
      <c r="D56" s="10" t="s">
        <v>101</v>
      </c>
      <c r="E56" s="10" t="n">
        <v>8429</v>
      </c>
      <c r="F56" s="22" t="n">
        <v>4</v>
      </c>
      <c r="G56" s="22" t="n">
        <v>82795</v>
      </c>
      <c r="H56" s="10" t="s">
        <v>41</v>
      </c>
      <c r="I56" s="10" t="str">
        <f aca="false">IFERROR(VLOOKUP(E56,Parameters!$G$6:$H$15,2,FALSE()),"")</f>
        <v>Bulldozers / excavators / loaders</v>
      </c>
      <c r="J56" s="10" t="str">
        <f aca="false">IFERROR(INDEX(Name_Map!$B$2:$B$102,MATCH(D56,Name_Map!$A$2:$A$102,0)),D56)</f>
        <v>Equinoccio Maquinaria S.A.</v>
      </c>
      <c r="K56" s="22" t="n">
        <f aca="false">IF(F56&gt;0,G56/F56,0)</f>
        <v>20698.75</v>
      </c>
      <c r="L56" s="10" t="str">
        <f aca="false">IF(AND(COUNTIFS($A$2:$A$307,A56,$E$2:$E$307,E56)&gt;1,COUNTIFS($A$2:$A$307,A56,$E$2:$E$307,E56,$G$2:$G$307,G56)=COUNTIFS($A$2:$A$307,A56,$E$2:$E$307,E56)),"CHECK","OK")</f>
        <v>OK</v>
      </c>
      <c r="M56" s="22" t="n">
        <f aca="false">IF(L56="CHECK",G56/SUMIFS($F$2:$F$307,$A$2:$A$307,A56,$E$2:$E$307,E56),K56)</f>
        <v>20698.75</v>
      </c>
      <c r="N56" s="10" t="str">
        <f aca="false">IF(COUNTIF(Parameters!$E$6:$E$13,H56)&gt;0,"Yes","No")</f>
        <v>Yes</v>
      </c>
      <c r="O56" s="10" t="str">
        <f aca="false">IF(M56&lt;=Parameters!$B$3,IF(COUNTIF(Parameters!$A$6:$A$7,E56)&gt;0,"Vehicles","Out of scope"),IF(COUNTIF(Parameters!$C$6:$C$14,E56)&gt;0,"H&amp;H","Out of scope"))</f>
        <v>H&amp;H</v>
      </c>
      <c r="P56" s="22" t="n">
        <f aca="false">M56*F56</f>
        <v>82795</v>
      </c>
    </row>
    <row r="57" customFormat="false" ht="15" hidden="false" customHeight="false" outlineLevel="0" collapsed="false">
      <c r="A57" s="10" t="s">
        <v>221</v>
      </c>
      <c r="B57" s="21" t="n">
        <v>45728</v>
      </c>
      <c r="C57" s="10" t="s">
        <v>159</v>
      </c>
      <c r="D57" s="10" t="s">
        <v>101</v>
      </c>
      <c r="E57" s="10" t="n">
        <v>8704</v>
      </c>
      <c r="F57" s="22" t="n">
        <v>4</v>
      </c>
      <c r="G57" s="22" t="n">
        <v>45455</v>
      </c>
      <c r="H57" s="10" t="s">
        <v>41</v>
      </c>
      <c r="I57" s="10" t="str">
        <f aca="false">IFERROR(VLOOKUP(E57,Parameters!$G$6:$H$15,2,FALSE()),"")</f>
        <v>Goods vehicles (trucks)</v>
      </c>
      <c r="J57" s="10" t="str">
        <f aca="false">IFERROR(INDEX(Name_Map!$B$2:$B$102,MATCH(D57,Name_Map!$A$2:$A$102,0)),D57)</f>
        <v>Equinoccio Maquinaria S.A.</v>
      </c>
      <c r="K57" s="22" t="n">
        <f aca="false">IF(F57&gt;0,G57/F57,0)</f>
        <v>11363.75</v>
      </c>
      <c r="L57" s="10" t="str">
        <f aca="false">IF(AND(COUNTIFS($A$2:$A$307,A57,$E$2:$E$307,E57)&gt;1,COUNTIFS($A$2:$A$307,A57,$E$2:$E$307,E57,$G$2:$G$307,G57)=COUNTIFS($A$2:$A$307,A57,$E$2:$E$307,E57)),"CHECK","OK")</f>
        <v>OK</v>
      </c>
      <c r="M57" s="22" t="n">
        <f aca="false">IF(L57="CHECK",G57/SUMIFS($F$2:$F$307,$A$2:$A$307,A57,$E$2:$E$307,E57),K57)</f>
        <v>11363.75</v>
      </c>
      <c r="N57" s="10" t="str">
        <f aca="false">IF(COUNTIF(Parameters!$E$6:$E$13,H57)&gt;0,"Yes","No")</f>
        <v>Yes</v>
      </c>
      <c r="O57" s="10" t="str">
        <f aca="false">IF(M57&lt;=Parameters!$B$3,IF(COUNTIF(Parameters!$A$6:$A$7,E57)&gt;0,"Vehicles","Out of scope"),IF(COUNTIF(Parameters!$C$6:$C$14,E57)&gt;0,"H&amp;H","Out of scope"))</f>
        <v>Vehicles</v>
      </c>
      <c r="P57" s="22" t="n">
        <f aca="false">M57*F57</f>
        <v>45455</v>
      </c>
    </row>
    <row r="58" customFormat="false" ht="15" hidden="false" customHeight="false" outlineLevel="0" collapsed="false">
      <c r="A58" s="10" t="s">
        <v>222</v>
      </c>
      <c r="B58" s="21" t="n">
        <v>45733</v>
      </c>
      <c r="C58" s="10" t="s">
        <v>160</v>
      </c>
      <c r="D58" s="10" t="s">
        <v>87</v>
      </c>
      <c r="E58" s="10" t="n">
        <v>8702</v>
      </c>
      <c r="F58" s="22" t="n">
        <v>2</v>
      </c>
      <c r="G58" s="22" t="n">
        <v>23190</v>
      </c>
      <c r="H58" s="10" t="s">
        <v>223</v>
      </c>
      <c r="I58" s="10" t="str">
        <f aca="false">IFERROR(VLOOKUP(E58,Parameters!$G$6:$H$15,2,FALSE()),"")</f>
        <v>Buses</v>
      </c>
      <c r="J58" s="10" t="str">
        <f aca="false">IFERROR(INDEX(Name_Map!$B$2:$B$102,MATCH(D58,Name_Map!$A$2:$A$102,0)),D58)</f>
        <v>Caribbean Freight Express S.R.L.</v>
      </c>
      <c r="K58" s="22" t="n">
        <f aca="false">IF(F58&gt;0,G58/F58,0)</f>
        <v>11595</v>
      </c>
      <c r="L58" s="10" t="str">
        <f aca="false">IF(AND(COUNTIFS($A$2:$A$307,A58,$E$2:$E$307,E58)&gt;1,COUNTIFS($A$2:$A$307,A58,$E$2:$E$307,E58,$G$2:$G$307,G58)=COUNTIFS($A$2:$A$307,A58,$E$2:$E$307,E58)),"CHECK","OK")</f>
        <v>OK</v>
      </c>
      <c r="M58" s="22" t="n">
        <f aca="false">IF(L58="CHECK",G58/SUMIFS($F$2:$F$307,$A$2:$A$307,A58,$E$2:$E$307,E58),K58)</f>
        <v>11595</v>
      </c>
      <c r="N58" s="10" t="str">
        <f aca="false">IF(COUNTIF(Parameters!$E$6:$E$13,H58)&gt;0,"Yes","No")</f>
        <v>No</v>
      </c>
      <c r="O58" s="10" t="str">
        <f aca="false">IF(M58&lt;=Parameters!$B$3,IF(COUNTIF(Parameters!$A$6:$A$7,E58)&gt;0,"Vehicles","Out of scope"),IF(COUNTIF(Parameters!$C$6:$C$14,E58)&gt;0,"H&amp;H","Out of scope"))</f>
        <v>Out of scope</v>
      </c>
      <c r="P58" s="22" t="n">
        <f aca="false">M58*F58</f>
        <v>23190</v>
      </c>
    </row>
    <row r="59" customFormat="false" ht="15" hidden="false" customHeight="false" outlineLevel="0" collapsed="false">
      <c r="A59" s="10" t="s">
        <v>222</v>
      </c>
      <c r="B59" s="21" t="n">
        <v>45733</v>
      </c>
      <c r="C59" s="10" t="s">
        <v>160</v>
      </c>
      <c r="D59" s="10" t="s">
        <v>88</v>
      </c>
      <c r="E59" s="10" t="n">
        <v>8705</v>
      </c>
      <c r="F59" s="22" t="n">
        <v>4</v>
      </c>
      <c r="G59" s="22" t="n">
        <v>222299</v>
      </c>
      <c r="H59" s="10" t="s">
        <v>223</v>
      </c>
      <c r="I59" s="10" t="str">
        <f aca="false">IFERROR(VLOOKUP(E59,Parameters!$G$6:$H$15,2,FALSE()),"")</f>
        <v>Special-purpose vehicles</v>
      </c>
      <c r="J59" s="10" t="str">
        <f aca="false">IFERROR(INDEX(Name_Map!$B$2:$B$102,MATCH(D59,Name_Map!$A$2:$A$102,0)),D59)</f>
        <v>Caribbean Freight Express S.R.L.</v>
      </c>
      <c r="K59" s="22" t="n">
        <f aca="false">IF(F59&gt;0,G59/F59,0)</f>
        <v>55574.75</v>
      </c>
      <c r="L59" s="10" t="str">
        <f aca="false">IF(AND(COUNTIFS($A$2:$A$307,A59,$E$2:$E$307,E59)&gt;1,COUNTIFS($A$2:$A$307,A59,$E$2:$E$307,E59,$G$2:$G$307,G59)=COUNTIFS($A$2:$A$307,A59,$E$2:$E$307,E59)),"CHECK","OK")</f>
        <v>OK</v>
      </c>
      <c r="M59" s="22" t="n">
        <f aca="false">IF(L59="CHECK",G59/SUMIFS($F$2:$F$307,$A$2:$A$307,A59,$E$2:$E$307,E59),K59)</f>
        <v>55574.75</v>
      </c>
      <c r="N59" s="10" t="str">
        <f aca="false">IF(COUNTIF(Parameters!$E$6:$E$13,H59)&gt;0,"Yes","No")</f>
        <v>No</v>
      </c>
      <c r="O59" s="10" t="str">
        <f aca="false">IF(M59&lt;=Parameters!$B$3,IF(COUNTIF(Parameters!$A$6:$A$7,E59)&gt;0,"Vehicles","Out of scope"),IF(COUNTIF(Parameters!$C$6:$C$14,E59)&gt;0,"H&amp;H","Out of scope"))</f>
        <v>H&amp;H</v>
      </c>
      <c r="P59" s="22" t="n">
        <f aca="false">M59*F59</f>
        <v>222299</v>
      </c>
    </row>
    <row r="60" customFormat="false" ht="15" hidden="false" customHeight="false" outlineLevel="0" collapsed="false">
      <c r="A60" s="10" t="s">
        <v>224</v>
      </c>
      <c r="B60" s="21" t="n">
        <v>45733</v>
      </c>
      <c r="C60" s="10" t="s">
        <v>159</v>
      </c>
      <c r="D60" s="10" t="s">
        <v>100</v>
      </c>
      <c r="E60" s="10" t="n">
        <v>8427</v>
      </c>
      <c r="F60" s="22" t="n">
        <v>1</v>
      </c>
      <c r="G60" s="22" t="n">
        <v>41512</v>
      </c>
      <c r="H60" s="10" t="s">
        <v>193</v>
      </c>
      <c r="I60" s="10" t="str">
        <f aca="false">IFERROR(VLOOKUP(E60,Parameters!$G$6:$H$15,2,FALSE()),"")</f>
        <v>Forklift trucks</v>
      </c>
      <c r="J60" s="10" t="str">
        <f aca="false">IFERROR(INDEX(Name_Map!$B$2:$B$102,MATCH(D60,Name_Map!$A$2:$A$102,0)),D60)</f>
        <v>Equinoccio Maquinaria S.A.</v>
      </c>
      <c r="K60" s="22" t="n">
        <f aca="false">IF(F60&gt;0,G60/F60,0)</f>
        <v>41512</v>
      </c>
      <c r="L60" s="10" t="str">
        <f aca="false">IF(AND(COUNTIFS($A$2:$A$307,A60,$E$2:$E$307,E60)&gt;1,COUNTIFS($A$2:$A$307,A60,$E$2:$E$307,E60,$G$2:$G$307,G60)=COUNTIFS($A$2:$A$307,A60,$E$2:$E$307,E60)),"CHECK","OK")</f>
        <v>OK</v>
      </c>
      <c r="M60" s="22" t="n">
        <f aca="false">IF(L60="CHECK",G60/SUMIFS($F$2:$F$307,$A$2:$A$307,A60,$E$2:$E$307,E60),K60)</f>
        <v>41512</v>
      </c>
      <c r="N60" s="10" t="str">
        <f aca="false">IF(COUNTIF(Parameters!$E$6:$E$13,H60)&gt;0,"Yes","No")</f>
        <v>No</v>
      </c>
      <c r="O60" s="10" t="str">
        <f aca="false">IF(M60&lt;=Parameters!$B$3,IF(COUNTIF(Parameters!$A$6:$A$7,E60)&gt;0,"Vehicles","Out of scope"),IF(COUNTIF(Parameters!$C$6:$C$14,E60)&gt;0,"H&amp;H","Out of scope"))</f>
        <v>H&amp;H</v>
      </c>
      <c r="P60" s="22" t="n">
        <f aca="false">M60*F60</f>
        <v>41512</v>
      </c>
    </row>
    <row r="61" customFormat="false" ht="15" hidden="false" customHeight="false" outlineLevel="0" collapsed="false">
      <c r="A61" s="10" t="s">
        <v>225</v>
      </c>
      <c r="B61" s="21" t="n">
        <v>45734</v>
      </c>
      <c r="C61" s="10" t="s">
        <v>159</v>
      </c>
      <c r="D61" s="10" t="s">
        <v>135</v>
      </c>
      <c r="E61" s="10" t="n">
        <v>8429</v>
      </c>
      <c r="F61" s="22" t="n">
        <v>2</v>
      </c>
      <c r="G61" s="22" t="n">
        <v>42152</v>
      </c>
      <c r="H61" s="10" t="s">
        <v>31</v>
      </c>
      <c r="I61" s="10" t="str">
        <f aca="false">IFERROR(VLOOKUP(E61,Parameters!$G$6:$H$15,2,FALSE()),"")</f>
        <v>Bulldozers / excavators / loaders</v>
      </c>
      <c r="J61" s="10" t="str">
        <f aca="false">IFERROR(INDEX(Name_Map!$B$2:$B$102,MATCH(D61,Name_Map!$A$2:$A$102,0)),D61)</f>
        <v>Pichincha Heavy Equipment S.A.</v>
      </c>
      <c r="K61" s="22" t="n">
        <f aca="false">IF(F61&gt;0,G61/F61,0)</f>
        <v>21076</v>
      </c>
      <c r="L61" s="10" t="str">
        <f aca="false">IF(AND(COUNTIFS($A$2:$A$307,A61,$E$2:$E$307,E61)&gt;1,COUNTIFS($A$2:$A$307,A61,$E$2:$E$307,E61,$G$2:$G$307,G61)=COUNTIFS($A$2:$A$307,A61,$E$2:$E$307,E61)),"CHECK","OK")</f>
        <v>OK</v>
      </c>
      <c r="M61" s="22" t="n">
        <f aca="false">IF(L61="CHECK",G61/SUMIFS($F$2:$F$307,$A$2:$A$307,A61,$E$2:$E$307,E61),K61)</f>
        <v>21076</v>
      </c>
      <c r="N61" s="10" t="str">
        <f aca="false">IF(COUNTIF(Parameters!$E$6:$E$13,H61)&gt;0,"Yes","No")</f>
        <v>Yes</v>
      </c>
      <c r="O61" s="10" t="str">
        <f aca="false">IF(M61&lt;=Parameters!$B$3,IF(COUNTIF(Parameters!$A$6:$A$7,E61)&gt;0,"Vehicles","Out of scope"),IF(COUNTIF(Parameters!$C$6:$C$14,E61)&gt;0,"H&amp;H","Out of scope"))</f>
        <v>H&amp;H</v>
      </c>
      <c r="P61" s="22" t="n">
        <f aca="false">M61*F61</f>
        <v>42152</v>
      </c>
    </row>
    <row r="62" customFormat="false" ht="15" hidden="false" customHeight="false" outlineLevel="0" collapsed="false">
      <c r="A62" s="10" t="s">
        <v>226</v>
      </c>
      <c r="B62" s="21" t="n">
        <v>45734</v>
      </c>
      <c r="C62" s="10" t="s">
        <v>161</v>
      </c>
      <c r="D62" s="10" t="s">
        <v>74</v>
      </c>
      <c r="E62" s="10" t="n">
        <v>8703</v>
      </c>
      <c r="F62" s="22" t="n">
        <v>21</v>
      </c>
      <c r="G62" s="22" t="n">
        <v>54638</v>
      </c>
      <c r="H62" s="10" t="s">
        <v>31</v>
      </c>
      <c r="I62" s="10" t="str">
        <f aca="false">IFERROR(VLOOKUP(E62,Parameters!$G$6:$H$15,2,FALSE()),"")</f>
        <v>Passenger cars</v>
      </c>
      <c r="J62" s="10" t="str">
        <f aca="false">IFERROR(INDEX(Name_Map!$B$2:$B$102,MATCH(D62,Name_Map!$A$2:$A$102,0)),D62)</f>
        <v>Canal Autos S.A.</v>
      </c>
      <c r="K62" s="22" t="n">
        <f aca="false">IF(F62&gt;0,G62/F62,0)</f>
        <v>2601.80952380952</v>
      </c>
      <c r="L62" s="10" t="str">
        <f aca="false">IF(AND(COUNTIFS($A$2:$A$307,A62,$E$2:$E$307,E62)&gt;1,COUNTIFS($A$2:$A$307,A62,$E$2:$E$307,E62,$G$2:$G$307,G62)=COUNTIFS($A$2:$A$307,A62,$E$2:$E$307,E62)),"CHECK","OK")</f>
        <v>OK</v>
      </c>
      <c r="M62" s="22" t="n">
        <f aca="false">IF(L62="CHECK",G62/SUMIFS($F$2:$F$307,$A$2:$A$307,A62,$E$2:$E$307,E62),K62)</f>
        <v>2601.80952380952</v>
      </c>
      <c r="N62" s="10" t="str">
        <f aca="false">IF(COUNTIF(Parameters!$E$6:$E$13,H62)&gt;0,"Yes","No")</f>
        <v>Yes</v>
      </c>
      <c r="O62" s="10" t="str">
        <f aca="false">IF(M62&lt;=Parameters!$B$3,IF(COUNTIF(Parameters!$A$6:$A$7,E62)&gt;0,"Vehicles","Out of scope"),IF(COUNTIF(Parameters!$C$6:$C$14,E62)&gt;0,"H&amp;H","Out of scope"))</f>
        <v>Vehicles</v>
      </c>
      <c r="P62" s="22" t="n">
        <f aca="false">M62*F62</f>
        <v>54638</v>
      </c>
    </row>
    <row r="63" customFormat="false" ht="15" hidden="false" customHeight="false" outlineLevel="0" collapsed="false">
      <c r="A63" s="10" t="s">
        <v>227</v>
      </c>
      <c r="B63" s="21" t="n">
        <v>45735</v>
      </c>
      <c r="C63" s="10" t="s">
        <v>159</v>
      </c>
      <c r="D63" s="10" t="s">
        <v>107</v>
      </c>
      <c r="E63" s="10" t="n">
        <v>8703</v>
      </c>
      <c r="F63" s="22" t="n">
        <v>19</v>
      </c>
      <c r="G63" s="22" t="n">
        <v>44923</v>
      </c>
      <c r="H63" s="10" t="s">
        <v>41</v>
      </c>
      <c r="I63" s="10" t="str">
        <f aca="false">IFERROR(VLOOKUP(E63,Parameters!$G$6:$H$15,2,FALSE()),"")</f>
        <v>Passenger cars</v>
      </c>
      <c r="J63" s="10" t="str">
        <f aca="false">IFERROR(INDEX(Name_Map!$B$2:$B$102,MATCH(D63,Name_Map!$A$2:$A$102,0)),D63)</f>
        <v>Guayas Autos S.A.</v>
      </c>
      <c r="K63" s="22" t="n">
        <f aca="false">IF(F63&gt;0,G63/F63,0)</f>
        <v>2364.36842105263</v>
      </c>
      <c r="L63" s="10" t="str">
        <f aca="false">IF(AND(COUNTIFS($A$2:$A$307,A63,$E$2:$E$307,E63)&gt;1,COUNTIFS($A$2:$A$307,A63,$E$2:$E$307,E63,$G$2:$G$307,G63)=COUNTIFS($A$2:$A$307,A63,$E$2:$E$307,E63)),"CHECK","OK")</f>
        <v>OK</v>
      </c>
      <c r="M63" s="22" t="n">
        <f aca="false">IF(L63="CHECK",G63/SUMIFS($F$2:$F$307,$A$2:$A$307,A63,$E$2:$E$307,E63),K63)</f>
        <v>2364.36842105263</v>
      </c>
      <c r="N63" s="10" t="str">
        <f aca="false">IF(COUNTIF(Parameters!$E$6:$E$13,H63)&gt;0,"Yes","No")</f>
        <v>Yes</v>
      </c>
      <c r="O63" s="10" t="str">
        <f aca="false">IF(M63&lt;=Parameters!$B$3,IF(COUNTIF(Parameters!$A$6:$A$7,E63)&gt;0,"Vehicles","Out of scope"),IF(COUNTIF(Parameters!$C$6:$C$14,E63)&gt;0,"H&amp;H","Out of scope"))</f>
        <v>Vehicles</v>
      </c>
      <c r="P63" s="22" t="n">
        <f aca="false">M63*F63</f>
        <v>44923</v>
      </c>
    </row>
    <row r="64" customFormat="false" ht="15" hidden="false" customHeight="false" outlineLevel="0" collapsed="false">
      <c r="A64" s="10" t="s">
        <v>227</v>
      </c>
      <c r="B64" s="21" t="n">
        <v>45735</v>
      </c>
      <c r="C64" s="10" t="s">
        <v>159</v>
      </c>
      <c r="D64" s="10" t="s">
        <v>107</v>
      </c>
      <c r="E64" s="10" t="n">
        <v>8703</v>
      </c>
      <c r="F64" s="22" t="n">
        <v>21</v>
      </c>
      <c r="G64" s="22" t="n">
        <v>44002</v>
      </c>
      <c r="H64" s="10" t="s">
        <v>41</v>
      </c>
      <c r="I64" s="10" t="str">
        <f aca="false">IFERROR(VLOOKUP(E64,Parameters!$G$6:$H$15,2,FALSE()),"")</f>
        <v>Passenger cars</v>
      </c>
      <c r="J64" s="10" t="str">
        <f aca="false">IFERROR(INDEX(Name_Map!$B$2:$B$102,MATCH(D64,Name_Map!$A$2:$A$102,0)),D64)</f>
        <v>Guayas Autos S.A.</v>
      </c>
      <c r="K64" s="22" t="n">
        <f aca="false">IF(F64&gt;0,G64/F64,0)</f>
        <v>2095.33333333333</v>
      </c>
      <c r="L64" s="10" t="str">
        <f aca="false">IF(AND(COUNTIFS($A$2:$A$307,A64,$E$2:$E$307,E64)&gt;1,COUNTIFS($A$2:$A$307,A64,$E$2:$E$307,E64,$G$2:$G$307,G64)=COUNTIFS($A$2:$A$307,A64,$E$2:$E$307,E64)),"CHECK","OK")</f>
        <v>OK</v>
      </c>
      <c r="M64" s="22" t="n">
        <f aca="false">IF(L64="CHECK",G64/SUMIFS($F$2:$F$307,$A$2:$A$307,A64,$E$2:$E$307,E64),K64)</f>
        <v>2095.33333333333</v>
      </c>
      <c r="N64" s="10" t="str">
        <f aca="false">IF(COUNTIF(Parameters!$E$6:$E$13,H64)&gt;0,"Yes","No")</f>
        <v>Yes</v>
      </c>
      <c r="O64" s="10" t="str">
        <f aca="false">IF(M64&lt;=Parameters!$B$3,IF(COUNTIF(Parameters!$A$6:$A$7,E64)&gt;0,"Vehicles","Out of scope"),IF(COUNTIF(Parameters!$C$6:$C$14,E64)&gt;0,"H&amp;H","Out of scope"))</f>
        <v>Vehicles</v>
      </c>
      <c r="P64" s="22" t="n">
        <f aca="false">M64*F64</f>
        <v>44002</v>
      </c>
    </row>
    <row r="65" customFormat="false" ht="15" hidden="false" customHeight="false" outlineLevel="0" collapsed="false">
      <c r="A65" s="10" t="s">
        <v>228</v>
      </c>
      <c r="B65" s="21" t="n">
        <v>45735</v>
      </c>
      <c r="C65" s="10" t="s">
        <v>161</v>
      </c>
      <c r="D65" s="10" t="s">
        <v>97</v>
      </c>
      <c r="E65" s="10" t="n">
        <v>8433</v>
      </c>
      <c r="F65" s="22" t="n">
        <v>4</v>
      </c>
      <c r="G65" s="22" t="n">
        <v>66190</v>
      </c>
      <c r="H65" s="10" t="s">
        <v>41</v>
      </c>
      <c r="I65" s="10" t="str">
        <f aca="false">IFERROR(VLOOKUP(E65,Parameters!$G$6:$H$15,2,FALSE()),"")</f>
        <v>Harvesting machinery</v>
      </c>
      <c r="J65" s="10" t="str">
        <f aca="false">IFERROR(INDEX(Name_Map!$B$2:$B$102,MATCH(D65,Name_Map!$A$2:$A$102,0)),D65)</f>
        <v>Darien Construcciones S.A.</v>
      </c>
      <c r="K65" s="22" t="n">
        <f aca="false">IF(F65&gt;0,G65/F65,0)</f>
        <v>16547.5</v>
      </c>
      <c r="L65" s="10" t="str">
        <f aca="false">IF(AND(COUNTIFS($A$2:$A$307,A65,$E$2:$E$307,E65)&gt;1,COUNTIFS($A$2:$A$307,A65,$E$2:$E$307,E65,$G$2:$G$307,G65)=COUNTIFS($A$2:$A$307,A65,$E$2:$E$307,E65)),"CHECK","OK")</f>
        <v>OK</v>
      </c>
      <c r="M65" s="22" t="n">
        <f aca="false">IF(L65="CHECK",G65/SUMIFS($F$2:$F$307,$A$2:$A$307,A65,$E$2:$E$307,E65),K65)</f>
        <v>16547.5</v>
      </c>
      <c r="N65" s="10" t="str">
        <f aca="false">IF(COUNTIF(Parameters!$E$6:$E$13,H65)&gt;0,"Yes","No")</f>
        <v>Yes</v>
      </c>
      <c r="O65" s="10" t="str">
        <f aca="false">IF(M65&lt;=Parameters!$B$3,IF(COUNTIF(Parameters!$A$6:$A$7,E65)&gt;0,"Vehicles","Out of scope"),IF(COUNTIF(Parameters!$C$6:$C$14,E65)&gt;0,"H&amp;H","Out of scope"))</f>
        <v>H&amp;H</v>
      </c>
      <c r="P65" s="22" t="n">
        <f aca="false">M65*F65</f>
        <v>66190</v>
      </c>
    </row>
    <row r="66" customFormat="false" ht="15" hidden="false" customHeight="false" outlineLevel="0" collapsed="false">
      <c r="A66" s="10" t="s">
        <v>229</v>
      </c>
      <c r="B66" s="21" t="n">
        <v>45736</v>
      </c>
      <c r="C66" s="10" t="s">
        <v>157</v>
      </c>
      <c r="D66" s="10" t="s">
        <v>145</v>
      </c>
      <c r="E66" s="10" t="n">
        <v>8433</v>
      </c>
      <c r="F66" s="22" t="n">
        <v>2</v>
      </c>
      <c r="G66" s="22" t="n">
        <v>64607</v>
      </c>
      <c r="H66" s="10" t="s">
        <v>41</v>
      </c>
      <c r="I66" s="10" t="str">
        <f aca="false">IFERROR(VLOOKUP(E66,Parameters!$G$6:$H$15,2,FALSE()),"")</f>
        <v>Harvesting machinery</v>
      </c>
      <c r="J66" s="10" t="str">
        <f aca="false">IFERROR(INDEX(Name_Map!$B$2:$B$102,MATCH(D66,Name_Map!$A$2:$A$102,0)),D66)</f>
        <v>Transcargo Pesados S.A.S.</v>
      </c>
      <c r="K66" s="22" t="n">
        <f aca="false">IF(F66&gt;0,G66/F66,0)</f>
        <v>32303.5</v>
      </c>
      <c r="L66" s="10" t="str">
        <f aca="false">IF(AND(COUNTIFS($A$2:$A$307,A66,$E$2:$E$307,E66)&gt;1,COUNTIFS($A$2:$A$307,A66,$E$2:$E$307,E66,$G$2:$G$307,G66)=COUNTIFS($A$2:$A$307,A66,$E$2:$E$307,E66)),"CHECK","OK")</f>
        <v>OK</v>
      </c>
      <c r="M66" s="22" t="n">
        <f aca="false">IF(L66="CHECK",G66/SUMIFS($F$2:$F$307,$A$2:$A$307,A66,$E$2:$E$307,E66),K66)</f>
        <v>32303.5</v>
      </c>
      <c r="N66" s="10" t="str">
        <f aca="false">IF(COUNTIF(Parameters!$E$6:$E$13,H66)&gt;0,"Yes","No")</f>
        <v>Yes</v>
      </c>
      <c r="O66" s="10" t="str">
        <f aca="false">IF(M66&lt;=Parameters!$B$3,IF(COUNTIF(Parameters!$A$6:$A$7,E66)&gt;0,"Vehicles","Out of scope"),IF(COUNTIF(Parameters!$C$6:$C$14,E66)&gt;0,"H&amp;H","Out of scope"))</f>
        <v>H&amp;H</v>
      </c>
      <c r="P66" s="22" t="n">
        <f aca="false">M66*F66</f>
        <v>64607</v>
      </c>
    </row>
    <row r="67" customFormat="false" ht="15" hidden="false" customHeight="false" outlineLevel="0" collapsed="false">
      <c r="A67" s="10" t="s">
        <v>230</v>
      </c>
      <c r="B67" s="21" t="n">
        <v>45736</v>
      </c>
      <c r="C67" s="10" t="s">
        <v>161</v>
      </c>
      <c r="D67" s="10" t="s">
        <v>73</v>
      </c>
      <c r="E67" s="10" t="n">
        <v>8704</v>
      </c>
      <c r="F67" s="22" t="n">
        <v>32</v>
      </c>
      <c r="G67" s="22" t="n">
        <v>269013</v>
      </c>
      <c r="H67" s="10" t="s">
        <v>37</v>
      </c>
      <c r="I67" s="10" t="str">
        <f aca="false">IFERROR(VLOOKUP(E67,Parameters!$G$6:$H$15,2,FALSE()),"")</f>
        <v>Goods vehicles (trucks)</v>
      </c>
      <c r="J67" s="10" t="str">
        <f aca="false">IFERROR(INDEX(Name_Map!$B$2:$B$102,MATCH(D67,Name_Map!$A$2:$A$102,0)),D67)</f>
        <v>Canal Autos S.A.</v>
      </c>
      <c r="K67" s="22" t="n">
        <f aca="false">IF(F67&gt;0,G67/F67,0)</f>
        <v>8406.65625</v>
      </c>
      <c r="L67" s="10" t="str">
        <f aca="false">IF(AND(COUNTIFS($A$2:$A$307,A67,$E$2:$E$307,E67)&gt;1,COUNTIFS($A$2:$A$307,A67,$E$2:$E$307,E67,$G$2:$G$307,G67)=COUNTIFS($A$2:$A$307,A67,$E$2:$E$307,E67)),"CHECK","OK")</f>
        <v>OK</v>
      </c>
      <c r="M67" s="22" t="n">
        <f aca="false">IF(L67="CHECK",G67/SUMIFS($F$2:$F$307,$A$2:$A$307,A67,$E$2:$E$307,E67),K67)</f>
        <v>8406.65625</v>
      </c>
      <c r="N67" s="10" t="str">
        <f aca="false">IF(COUNTIF(Parameters!$E$6:$E$13,H67)&gt;0,"Yes","No")</f>
        <v>Yes</v>
      </c>
      <c r="O67" s="10" t="str">
        <f aca="false">IF(M67&lt;=Parameters!$B$3,IF(COUNTIF(Parameters!$A$6:$A$7,E67)&gt;0,"Vehicles","Out of scope"),IF(COUNTIF(Parameters!$C$6:$C$14,E67)&gt;0,"H&amp;H","Out of scope"))</f>
        <v>Vehicles</v>
      </c>
      <c r="P67" s="22" t="n">
        <f aca="false">M67*F67</f>
        <v>269013</v>
      </c>
    </row>
    <row r="68" customFormat="false" ht="15" hidden="false" customHeight="false" outlineLevel="0" collapsed="false">
      <c r="A68" s="10" t="s">
        <v>230</v>
      </c>
      <c r="B68" s="21" t="n">
        <v>45736</v>
      </c>
      <c r="C68" s="10" t="s">
        <v>161</v>
      </c>
      <c r="D68" s="10" t="s">
        <v>85</v>
      </c>
      <c r="E68" s="10" t="n">
        <v>8703</v>
      </c>
      <c r="F68" s="22" t="n">
        <v>17</v>
      </c>
      <c r="G68" s="22" t="n">
        <v>43241</v>
      </c>
      <c r="H68" s="10" t="s">
        <v>37</v>
      </c>
      <c r="I68" s="10" t="str">
        <f aca="false">IFERROR(VLOOKUP(E68,Parameters!$G$6:$H$15,2,FALSE()),"")</f>
        <v>Passenger cars</v>
      </c>
      <c r="J68" s="10" t="str">
        <f aca="false">IFERROR(INDEX(Name_Map!$B$2:$B$102,MATCH(D68,Name_Map!$A$2:$A$102,0)),D68)</f>
        <v>Canal Autos S.A.</v>
      </c>
      <c r="K68" s="22" t="n">
        <f aca="false">IF(F68&gt;0,G68/F68,0)</f>
        <v>2543.58823529412</v>
      </c>
      <c r="L68" s="10" t="str">
        <f aca="false">IF(AND(COUNTIFS($A$2:$A$307,A68,$E$2:$E$307,E68)&gt;1,COUNTIFS($A$2:$A$307,A68,$E$2:$E$307,E68,$G$2:$G$307,G68)=COUNTIFS($A$2:$A$307,A68,$E$2:$E$307,E68)),"CHECK","OK")</f>
        <v>OK</v>
      </c>
      <c r="M68" s="22" t="n">
        <f aca="false">IF(L68="CHECK",G68/SUMIFS($F$2:$F$307,$A$2:$A$307,A68,$E$2:$E$307,E68),K68)</f>
        <v>2543.58823529412</v>
      </c>
      <c r="N68" s="10" t="str">
        <f aca="false">IF(COUNTIF(Parameters!$E$6:$E$13,H68)&gt;0,"Yes","No")</f>
        <v>Yes</v>
      </c>
      <c r="O68" s="10" t="str">
        <f aca="false">IF(M68&lt;=Parameters!$B$3,IF(COUNTIF(Parameters!$A$6:$A$7,E68)&gt;0,"Vehicles","Out of scope"),IF(COUNTIF(Parameters!$C$6:$C$14,E68)&gt;0,"H&amp;H","Out of scope"))</f>
        <v>Vehicles</v>
      </c>
      <c r="P68" s="22" t="n">
        <f aca="false">M68*F68</f>
        <v>43241</v>
      </c>
    </row>
    <row r="69" customFormat="false" ht="15" hidden="false" customHeight="false" outlineLevel="0" collapsed="false">
      <c r="A69" s="10" t="s">
        <v>231</v>
      </c>
      <c r="B69" s="21" t="n">
        <v>45737</v>
      </c>
      <c r="C69" s="10" t="s">
        <v>156</v>
      </c>
      <c r="D69" s="10" t="s">
        <v>82</v>
      </c>
      <c r="E69" s="10" t="n">
        <v>8430</v>
      </c>
      <c r="F69" s="22" t="n">
        <v>1</v>
      </c>
      <c r="G69" s="22" t="n">
        <v>19307</v>
      </c>
      <c r="H69" s="10" t="s">
        <v>33</v>
      </c>
      <c r="I69" s="10" t="str">
        <f aca="false">IFERROR(VLOOKUP(E69,Parameters!$G$6:$H$15,2,FALSE()),"")</f>
        <v>Other earthmoving / drilling machinery</v>
      </c>
      <c r="J69" s="10" t="str">
        <f aca="false">IFERROR(INDEX(Name_Map!$B$2:$B$102,MATCH(D69,Name_Map!$A$2:$A$102,0)),D69)</f>
        <v>Cordillera Maquinarias SpA</v>
      </c>
      <c r="K69" s="22" t="n">
        <f aca="false">IF(F69&gt;0,G69/F69,0)</f>
        <v>19307</v>
      </c>
      <c r="L69" s="10" t="str">
        <f aca="false">IF(AND(COUNTIFS($A$2:$A$307,A69,$E$2:$E$307,E69)&gt;1,COUNTIFS($A$2:$A$307,A69,$E$2:$E$307,E69,$G$2:$G$307,G69)=COUNTIFS($A$2:$A$307,A69,$E$2:$E$307,E69)),"CHECK","OK")</f>
        <v>OK</v>
      </c>
      <c r="M69" s="22" t="n">
        <f aca="false">IF(L69="CHECK",G69/SUMIFS($F$2:$F$307,$A$2:$A$307,A69,$E$2:$E$307,E69),K69)</f>
        <v>19307</v>
      </c>
      <c r="N69" s="10" t="str">
        <f aca="false">IF(COUNTIF(Parameters!$E$6:$E$13,H69)&gt;0,"Yes","No")</f>
        <v>Yes</v>
      </c>
      <c r="O69" s="10" t="str">
        <f aca="false">IF(M69&lt;=Parameters!$B$3,IF(COUNTIF(Parameters!$A$6:$A$7,E69)&gt;0,"Vehicles","Out of scope"),IF(COUNTIF(Parameters!$C$6:$C$14,E69)&gt;0,"H&amp;H","Out of scope"))</f>
        <v>H&amp;H</v>
      </c>
      <c r="P69" s="22" t="n">
        <f aca="false">M69*F69</f>
        <v>19307</v>
      </c>
    </row>
    <row r="70" customFormat="false" ht="15" hidden="false" customHeight="false" outlineLevel="0" collapsed="false">
      <c r="A70" s="10" t="s">
        <v>231</v>
      </c>
      <c r="B70" s="21" t="n">
        <v>45737</v>
      </c>
      <c r="C70" s="10" t="s">
        <v>156</v>
      </c>
      <c r="D70" s="10" t="s">
        <v>82</v>
      </c>
      <c r="E70" s="10" t="n">
        <v>8430</v>
      </c>
      <c r="F70" s="22" t="n">
        <v>2</v>
      </c>
      <c r="G70" s="22" t="n">
        <v>26343</v>
      </c>
      <c r="H70" s="10" t="s">
        <v>33</v>
      </c>
      <c r="I70" s="10" t="str">
        <f aca="false">IFERROR(VLOOKUP(E70,Parameters!$G$6:$H$15,2,FALSE()),"")</f>
        <v>Other earthmoving / drilling machinery</v>
      </c>
      <c r="J70" s="10" t="str">
        <f aca="false">IFERROR(INDEX(Name_Map!$B$2:$B$102,MATCH(D70,Name_Map!$A$2:$A$102,0)),D70)</f>
        <v>Cordillera Maquinarias SpA</v>
      </c>
      <c r="K70" s="22" t="n">
        <f aca="false">IF(F70&gt;0,G70/F70,0)</f>
        <v>13171.5</v>
      </c>
      <c r="L70" s="10" t="str">
        <f aca="false">IF(AND(COUNTIFS($A$2:$A$307,A70,$E$2:$E$307,E70)&gt;1,COUNTIFS($A$2:$A$307,A70,$E$2:$E$307,E70,$G$2:$G$307,G70)=COUNTIFS($A$2:$A$307,A70,$E$2:$E$307,E70)),"CHECK","OK")</f>
        <v>OK</v>
      </c>
      <c r="M70" s="22" t="n">
        <f aca="false">IF(L70="CHECK",G70/SUMIFS($F$2:$F$307,$A$2:$A$307,A70,$E$2:$E$307,E70),K70)</f>
        <v>13171.5</v>
      </c>
      <c r="N70" s="10" t="str">
        <f aca="false">IF(COUNTIF(Parameters!$E$6:$E$13,H70)&gt;0,"Yes","No")</f>
        <v>Yes</v>
      </c>
      <c r="O70" s="10" t="str">
        <f aca="false">IF(M70&lt;=Parameters!$B$3,IF(COUNTIF(Parameters!$A$6:$A$7,E70)&gt;0,"Vehicles","Out of scope"),IF(COUNTIF(Parameters!$C$6:$C$14,E70)&gt;0,"H&amp;H","Out of scope"))</f>
        <v>Out of scope</v>
      </c>
      <c r="P70" s="22" t="n">
        <f aca="false">M70*F70</f>
        <v>26343</v>
      </c>
    </row>
    <row r="71" customFormat="false" ht="15" hidden="false" customHeight="false" outlineLevel="0" collapsed="false">
      <c r="A71" s="10" t="s">
        <v>232</v>
      </c>
      <c r="B71" s="21" t="n">
        <v>45739</v>
      </c>
      <c r="C71" s="10" t="s">
        <v>156</v>
      </c>
      <c r="D71" s="10" t="s">
        <v>131</v>
      </c>
      <c r="E71" s="10" t="n">
        <v>8703</v>
      </c>
      <c r="F71" s="22" t="n">
        <v>23</v>
      </c>
      <c r="G71" s="22" t="n">
        <v>31269</v>
      </c>
      <c r="H71" s="10" t="s">
        <v>180</v>
      </c>
      <c r="I71" s="10" t="str">
        <f aca="false">IFERROR(VLOOKUP(E71,Parameters!$G$6:$H$15,2,FALSE()),"")</f>
        <v>Passenger cars</v>
      </c>
      <c r="J71" s="10" t="str">
        <f aca="false">IFERROR(INDEX(Name_Map!$B$2:$B$102,MATCH(D71,Name_Map!$A$2:$A$102,0)),D71)</f>
        <v>Pacifico Autos Ltda.</v>
      </c>
      <c r="K71" s="22" t="n">
        <f aca="false">IF(F71&gt;0,G71/F71,0)</f>
        <v>1359.52173913043</v>
      </c>
      <c r="L71" s="10" t="str">
        <f aca="false">IF(AND(COUNTIFS($A$2:$A$307,A71,$E$2:$E$307,E71)&gt;1,COUNTIFS($A$2:$A$307,A71,$E$2:$E$307,E71,$G$2:$G$307,G71)=COUNTIFS($A$2:$A$307,A71,$E$2:$E$307,E71)),"CHECK","OK")</f>
        <v>OK</v>
      </c>
      <c r="M71" s="22" t="n">
        <f aca="false">IF(L71="CHECK",G71/SUMIFS($F$2:$F$307,$A$2:$A$307,A71,$E$2:$E$307,E71),K71)</f>
        <v>1359.52173913043</v>
      </c>
      <c r="N71" s="10" t="str">
        <f aca="false">IF(COUNTIF(Parameters!$E$6:$E$13,H71)&gt;0,"Yes","No")</f>
        <v>No</v>
      </c>
      <c r="O71" s="10" t="str">
        <f aca="false">IF(M71&lt;=Parameters!$B$3,IF(COUNTIF(Parameters!$A$6:$A$7,E71)&gt;0,"Vehicles","Out of scope"),IF(COUNTIF(Parameters!$C$6:$C$14,E71)&gt;0,"H&amp;H","Out of scope"))</f>
        <v>Vehicles</v>
      </c>
      <c r="P71" s="22" t="n">
        <f aca="false">M71*F71</f>
        <v>31269</v>
      </c>
    </row>
    <row r="72" customFormat="false" ht="15" hidden="false" customHeight="false" outlineLevel="0" collapsed="false">
      <c r="A72" s="10" t="s">
        <v>233</v>
      </c>
      <c r="B72" s="21" t="n">
        <v>45741</v>
      </c>
      <c r="C72" s="10" t="s">
        <v>156</v>
      </c>
      <c r="D72" s="10" t="s">
        <v>95</v>
      </c>
      <c r="E72" s="10" t="n">
        <v>8701</v>
      </c>
      <c r="F72" s="22" t="n">
        <v>2</v>
      </c>
      <c r="G72" s="22" t="n">
        <v>74592</v>
      </c>
      <c r="H72" s="10" t="s">
        <v>182</v>
      </c>
      <c r="I72" s="10" t="str">
        <f aca="false">IFERROR(VLOOKUP(E72,Parameters!$G$6:$H$15,2,FALSE()),"")</f>
        <v>Tractors</v>
      </c>
      <c r="J72" s="10" t="str">
        <f aca="false">IFERROR(INDEX(Name_Map!$B$2:$B$102,MATCH(D72,Name_Map!$A$2:$A$102,0)),D72)</f>
        <v>Cordillera Maquinarias SpA</v>
      </c>
      <c r="K72" s="22" t="n">
        <f aca="false">IF(F72&gt;0,G72/F72,0)</f>
        <v>37296</v>
      </c>
      <c r="L72" s="10" t="str">
        <f aca="false">IF(AND(COUNTIFS($A$2:$A$307,A72,$E$2:$E$307,E72)&gt;1,COUNTIFS($A$2:$A$307,A72,$E$2:$E$307,E72,$G$2:$G$307,G72)=COUNTIFS($A$2:$A$307,A72,$E$2:$E$307,E72)),"CHECK","OK")</f>
        <v>OK</v>
      </c>
      <c r="M72" s="22" t="n">
        <f aca="false">IF(L72="CHECK",G72/SUMIFS($F$2:$F$307,$A$2:$A$307,A72,$E$2:$E$307,E72),K72)</f>
        <v>37296</v>
      </c>
      <c r="N72" s="10" t="str">
        <f aca="false">IF(COUNTIF(Parameters!$E$6:$E$13,H72)&gt;0,"Yes","No")</f>
        <v>No</v>
      </c>
      <c r="O72" s="10" t="str">
        <f aca="false">IF(M72&lt;=Parameters!$B$3,IF(COUNTIF(Parameters!$A$6:$A$7,E72)&gt;0,"Vehicles","Out of scope"),IF(COUNTIF(Parameters!$C$6:$C$14,E72)&gt;0,"H&amp;H","Out of scope"))</f>
        <v>H&amp;H</v>
      </c>
      <c r="P72" s="22" t="n">
        <f aca="false">M72*F72</f>
        <v>74592</v>
      </c>
    </row>
    <row r="73" customFormat="false" ht="15" hidden="false" customHeight="false" outlineLevel="0" collapsed="false">
      <c r="A73" s="10" t="s">
        <v>234</v>
      </c>
      <c r="B73" s="21" t="n">
        <v>45741</v>
      </c>
      <c r="C73" s="10" t="s">
        <v>161</v>
      </c>
      <c r="D73" s="10" t="s">
        <v>116</v>
      </c>
      <c r="E73" s="10" t="n">
        <v>8704</v>
      </c>
      <c r="F73" s="22" t="n">
        <v>2</v>
      </c>
      <c r="G73" s="22" t="n">
        <v>38160</v>
      </c>
      <c r="H73" s="10" t="s">
        <v>39</v>
      </c>
      <c r="I73" s="10" t="str">
        <f aca="false">IFERROR(VLOOKUP(E73,Parameters!$G$6:$H$15,2,FALSE()),"")</f>
        <v>Goods vehicles (trucks)</v>
      </c>
      <c r="J73" s="10" t="str">
        <f aca="false">IFERROR(INDEX(Name_Map!$B$2:$B$102,MATCH(D73,Name_Map!$A$2:$A$102,0)),D73)</f>
        <v>Istmo Motors S.A.</v>
      </c>
      <c r="K73" s="22" t="n">
        <f aca="false">IF(F73&gt;0,G73/F73,0)</f>
        <v>19080</v>
      </c>
      <c r="L73" s="10" t="str">
        <f aca="false">IF(AND(COUNTIFS($A$2:$A$307,A73,$E$2:$E$307,E73)&gt;1,COUNTIFS($A$2:$A$307,A73,$E$2:$E$307,E73,$G$2:$G$307,G73)=COUNTIFS($A$2:$A$307,A73,$E$2:$E$307,E73)),"CHECK","OK")</f>
        <v>CHECK</v>
      </c>
      <c r="M73" s="22" t="n">
        <f aca="false">IF(L73="CHECK",G73/SUMIFS($F$2:$F$307,$A$2:$A$307,A73,$E$2:$E$307,E73),K73)</f>
        <v>6360</v>
      </c>
      <c r="N73" s="10" t="str">
        <f aca="false">IF(COUNTIF(Parameters!$E$6:$E$13,H73)&gt;0,"Yes","No")</f>
        <v>Yes</v>
      </c>
      <c r="O73" s="10" t="str">
        <f aca="false">IF(M73&lt;=Parameters!$B$3,IF(COUNTIF(Parameters!$A$6:$A$7,E73)&gt;0,"Vehicles","Out of scope"),IF(COUNTIF(Parameters!$C$6:$C$14,E73)&gt;0,"H&amp;H","Out of scope"))</f>
        <v>Vehicles</v>
      </c>
      <c r="P73" s="22" t="n">
        <f aca="false">M73*F73</f>
        <v>12720</v>
      </c>
    </row>
    <row r="74" customFormat="false" ht="15" hidden="false" customHeight="false" outlineLevel="0" collapsed="false">
      <c r="A74" s="10" t="s">
        <v>234</v>
      </c>
      <c r="B74" s="21" t="n">
        <v>45741</v>
      </c>
      <c r="C74" s="10" t="s">
        <v>161</v>
      </c>
      <c r="D74" s="10" t="s">
        <v>112</v>
      </c>
      <c r="E74" s="10" t="n">
        <v>8704</v>
      </c>
      <c r="F74" s="22" t="n">
        <v>3</v>
      </c>
      <c r="G74" s="22" t="n">
        <v>38160</v>
      </c>
      <c r="H74" s="10" t="s">
        <v>37</v>
      </c>
      <c r="I74" s="10" t="str">
        <f aca="false">IFERROR(VLOOKUP(E74,Parameters!$G$6:$H$15,2,FALSE()),"")</f>
        <v>Goods vehicles (trucks)</v>
      </c>
      <c r="J74" s="10" t="str">
        <f aca="false">IFERROR(INDEX(Name_Map!$B$2:$B$102,MATCH(D74,Name_Map!$A$2:$A$102,0)),D74)</f>
        <v>Istmo Motors S.A.</v>
      </c>
      <c r="K74" s="22" t="n">
        <f aca="false">IF(F74&gt;0,G74/F74,0)</f>
        <v>12720</v>
      </c>
      <c r="L74" s="10" t="str">
        <f aca="false">IF(AND(COUNTIFS($A$2:$A$307,A74,$E$2:$E$307,E74)&gt;1,COUNTIFS($A$2:$A$307,A74,$E$2:$E$307,E74,$G$2:$G$307,G74)=COUNTIFS($A$2:$A$307,A74,$E$2:$E$307,E74)),"CHECK","OK")</f>
        <v>CHECK</v>
      </c>
      <c r="M74" s="22" t="n">
        <f aca="false">IF(L74="CHECK",G74/SUMIFS($F$2:$F$307,$A$2:$A$307,A74,$E$2:$E$307,E74),K74)</f>
        <v>6360</v>
      </c>
      <c r="N74" s="10" t="str">
        <f aca="false">IF(COUNTIF(Parameters!$E$6:$E$13,H74)&gt;0,"Yes","No")</f>
        <v>Yes</v>
      </c>
      <c r="O74" s="10" t="str">
        <f aca="false">IF(M74&lt;=Parameters!$B$3,IF(COUNTIF(Parameters!$A$6:$A$7,E74)&gt;0,"Vehicles","Out of scope"),IF(COUNTIF(Parameters!$C$6:$C$14,E74)&gt;0,"H&amp;H","Out of scope"))</f>
        <v>Vehicles</v>
      </c>
      <c r="P74" s="22" t="n">
        <f aca="false">M74*F74</f>
        <v>19080</v>
      </c>
    </row>
    <row r="75" customFormat="false" ht="15" hidden="false" customHeight="false" outlineLevel="0" collapsed="false">
      <c r="A75" s="10" t="s">
        <v>234</v>
      </c>
      <c r="B75" s="21" t="n">
        <v>45741</v>
      </c>
      <c r="C75" s="10" t="s">
        <v>161</v>
      </c>
      <c r="D75" s="10" t="s">
        <v>113</v>
      </c>
      <c r="E75" s="10" t="n">
        <v>8704</v>
      </c>
      <c r="F75" s="22" t="n">
        <v>1</v>
      </c>
      <c r="G75" s="22" t="n">
        <v>38160</v>
      </c>
      <c r="H75" s="10" t="s">
        <v>31</v>
      </c>
      <c r="I75" s="10" t="str">
        <f aca="false">IFERROR(VLOOKUP(E75,Parameters!$G$6:$H$15,2,FALSE()),"")</f>
        <v>Goods vehicles (trucks)</v>
      </c>
      <c r="J75" s="10" t="str">
        <f aca="false">IFERROR(INDEX(Name_Map!$B$2:$B$102,MATCH(D75,Name_Map!$A$2:$A$102,0)),D75)</f>
        <v>Istmo Motors S.A.</v>
      </c>
      <c r="K75" s="22" t="n">
        <f aca="false">IF(F75&gt;0,G75/F75,0)</f>
        <v>38160</v>
      </c>
      <c r="L75" s="10" t="str">
        <f aca="false">IF(AND(COUNTIFS($A$2:$A$307,A75,$E$2:$E$307,E75)&gt;1,COUNTIFS($A$2:$A$307,A75,$E$2:$E$307,E75,$G$2:$G$307,G75)=COUNTIFS($A$2:$A$307,A75,$E$2:$E$307,E75)),"CHECK","OK")</f>
        <v>CHECK</v>
      </c>
      <c r="M75" s="22" t="n">
        <f aca="false">IF(L75="CHECK",G75/SUMIFS($F$2:$F$307,$A$2:$A$307,A75,$E$2:$E$307,E75),K75)</f>
        <v>6360</v>
      </c>
      <c r="N75" s="10" t="str">
        <f aca="false">IF(COUNTIF(Parameters!$E$6:$E$13,H75)&gt;0,"Yes","No")</f>
        <v>Yes</v>
      </c>
      <c r="O75" s="10" t="str">
        <f aca="false">IF(M75&lt;=Parameters!$B$3,IF(COUNTIF(Parameters!$A$6:$A$7,E75)&gt;0,"Vehicles","Out of scope"),IF(COUNTIF(Parameters!$C$6:$C$14,E75)&gt;0,"H&amp;H","Out of scope"))</f>
        <v>Vehicles</v>
      </c>
      <c r="P75" s="22" t="n">
        <f aca="false">M75*F75</f>
        <v>6360</v>
      </c>
    </row>
    <row r="76" customFormat="false" ht="15" hidden="false" customHeight="false" outlineLevel="0" collapsed="false">
      <c r="A76" s="10" t="s">
        <v>235</v>
      </c>
      <c r="B76" s="21" t="n">
        <v>45743</v>
      </c>
      <c r="C76" s="10" t="s">
        <v>160</v>
      </c>
      <c r="D76" s="10" t="s">
        <v>144</v>
      </c>
      <c r="E76" s="10" t="n">
        <v>8704</v>
      </c>
      <c r="F76" s="22" t="n">
        <v>24</v>
      </c>
      <c r="G76" s="22" t="n">
        <v>173699</v>
      </c>
      <c r="H76" s="10" t="s">
        <v>180</v>
      </c>
      <c r="I76" s="10" t="str">
        <f aca="false">IFERROR(VLOOKUP(E76,Parameters!$G$6:$H$15,2,FALSE()),"")</f>
        <v>Goods vehicles (trucks)</v>
      </c>
      <c r="J76" s="10" t="str">
        <f aca="false">IFERROR(INDEX(Name_Map!$B$2:$B$102,MATCH(D76,Name_Map!$A$2:$A$102,0)),D76)</f>
        <v>Santo Domingo Autos S.R.L.</v>
      </c>
      <c r="K76" s="22" t="n">
        <f aca="false">IF(F76&gt;0,G76/F76,0)</f>
        <v>7237.45833333333</v>
      </c>
      <c r="L76" s="10" t="str">
        <f aca="false">IF(AND(COUNTIFS($A$2:$A$307,A76,$E$2:$E$307,E76)&gt;1,COUNTIFS($A$2:$A$307,A76,$E$2:$E$307,E76,$G$2:$G$307,G76)=COUNTIFS($A$2:$A$307,A76,$E$2:$E$307,E76)),"CHECK","OK")</f>
        <v>OK</v>
      </c>
      <c r="M76" s="22" t="n">
        <f aca="false">IF(L76="CHECK",G76/SUMIFS($F$2:$F$307,$A$2:$A$307,A76,$E$2:$E$307,E76),K76)</f>
        <v>7237.45833333333</v>
      </c>
      <c r="N76" s="10" t="str">
        <f aca="false">IF(COUNTIF(Parameters!$E$6:$E$13,H76)&gt;0,"Yes","No")</f>
        <v>No</v>
      </c>
      <c r="O76" s="10" t="str">
        <f aca="false">IF(M76&lt;=Parameters!$B$3,IF(COUNTIF(Parameters!$A$6:$A$7,E76)&gt;0,"Vehicles","Out of scope"),IF(COUNTIF(Parameters!$C$6:$C$14,E76)&gt;0,"H&amp;H","Out of scope"))</f>
        <v>Vehicles</v>
      </c>
      <c r="P76" s="22" t="n">
        <f aca="false">M76*F76</f>
        <v>173699</v>
      </c>
    </row>
    <row r="77" customFormat="false" ht="15" hidden="false" customHeight="false" outlineLevel="0" collapsed="false">
      <c r="A77" s="10" t="s">
        <v>236</v>
      </c>
      <c r="B77" s="21" t="n">
        <v>45747</v>
      </c>
      <c r="C77" s="10" t="s">
        <v>159</v>
      </c>
      <c r="D77" s="10" t="s">
        <v>107</v>
      </c>
      <c r="E77" s="10" t="n">
        <v>8703</v>
      </c>
      <c r="F77" s="22" t="n">
        <v>4</v>
      </c>
      <c r="G77" s="22" t="n">
        <v>8181</v>
      </c>
      <c r="H77" s="10" t="s">
        <v>33</v>
      </c>
      <c r="I77" s="10" t="str">
        <f aca="false">IFERROR(VLOOKUP(E77,Parameters!$G$6:$H$15,2,FALSE()),"")</f>
        <v>Passenger cars</v>
      </c>
      <c r="J77" s="10" t="str">
        <f aca="false">IFERROR(INDEX(Name_Map!$B$2:$B$102,MATCH(D77,Name_Map!$A$2:$A$102,0)),D77)</f>
        <v>Guayas Autos S.A.</v>
      </c>
      <c r="K77" s="22" t="n">
        <f aca="false">IF(F77&gt;0,G77/F77,0)</f>
        <v>2045.25</v>
      </c>
      <c r="L77" s="10" t="str">
        <f aca="false">IF(AND(COUNTIFS($A$2:$A$307,A77,$E$2:$E$307,E77)&gt;1,COUNTIFS($A$2:$A$307,A77,$E$2:$E$307,E77,$G$2:$G$307,G77)=COUNTIFS($A$2:$A$307,A77,$E$2:$E$307,E77)),"CHECK","OK")</f>
        <v>OK</v>
      </c>
      <c r="M77" s="22" t="n">
        <f aca="false">IF(L77="CHECK",G77/SUMIFS($F$2:$F$307,$A$2:$A$307,A77,$E$2:$E$307,E77),K77)</f>
        <v>2045.25</v>
      </c>
      <c r="N77" s="10" t="str">
        <f aca="false">IF(COUNTIF(Parameters!$E$6:$E$13,H77)&gt;0,"Yes","No")</f>
        <v>Yes</v>
      </c>
      <c r="O77" s="10" t="str">
        <f aca="false">IF(M77&lt;=Parameters!$B$3,IF(COUNTIF(Parameters!$A$6:$A$7,E77)&gt;0,"Vehicles","Out of scope"),IF(COUNTIF(Parameters!$C$6:$C$14,E77)&gt;0,"H&amp;H","Out of scope"))</f>
        <v>Vehicles</v>
      </c>
      <c r="P77" s="22" t="n">
        <f aca="false">M77*F77</f>
        <v>8181</v>
      </c>
    </row>
    <row r="78" customFormat="false" ht="15" hidden="false" customHeight="false" outlineLevel="0" collapsed="false">
      <c r="A78" s="10" t="s">
        <v>237</v>
      </c>
      <c r="B78" s="21" t="n">
        <v>45749</v>
      </c>
      <c r="C78" s="10" t="s">
        <v>157</v>
      </c>
      <c r="D78" s="10" t="s">
        <v>120</v>
      </c>
      <c r="E78" s="10" t="n">
        <v>8701</v>
      </c>
      <c r="F78" s="22" t="n">
        <v>3</v>
      </c>
      <c r="G78" s="22" t="n">
        <v>71387</v>
      </c>
      <c r="H78" s="10" t="s">
        <v>31</v>
      </c>
      <c r="I78" s="10" t="str">
        <f aca="false">IFERROR(VLOOKUP(E78,Parameters!$G$6:$H$15,2,FALSE()),"")</f>
        <v>Tractors</v>
      </c>
      <c r="J78" s="10" t="str">
        <f aca="false">IFERROR(INDEX(Name_Map!$B$2:$B$102,MATCH(D78,Name_Map!$A$2:$A$102,0)),D78)</f>
        <v>Llanos Agro Equipos S.A.S.</v>
      </c>
      <c r="K78" s="22" t="n">
        <f aca="false">IF(F78&gt;0,G78/F78,0)</f>
        <v>23795.6666666667</v>
      </c>
      <c r="L78" s="10" t="str">
        <f aca="false">IF(AND(COUNTIFS($A$2:$A$307,A78,$E$2:$E$307,E78)&gt;1,COUNTIFS($A$2:$A$307,A78,$E$2:$E$307,E78,$G$2:$G$307,G78)=COUNTIFS($A$2:$A$307,A78,$E$2:$E$307,E78)),"CHECK","OK")</f>
        <v>OK</v>
      </c>
      <c r="M78" s="22" t="n">
        <f aca="false">IF(L78="CHECK",G78/SUMIFS($F$2:$F$307,$A$2:$A$307,A78,$E$2:$E$307,E78),K78)</f>
        <v>23795.6666666667</v>
      </c>
      <c r="N78" s="10" t="str">
        <f aca="false">IF(COUNTIF(Parameters!$E$6:$E$13,H78)&gt;0,"Yes","No")</f>
        <v>Yes</v>
      </c>
      <c r="O78" s="10" t="str">
        <f aca="false">IF(M78&lt;=Parameters!$B$3,IF(COUNTIF(Parameters!$A$6:$A$7,E78)&gt;0,"Vehicles","Out of scope"),IF(COUNTIF(Parameters!$C$6:$C$14,E78)&gt;0,"H&amp;H","Out of scope"))</f>
        <v>H&amp;H</v>
      </c>
      <c r="P78" s="22" t="n">
        <f aca="false">M78*F78</f>
        <v>71387</v>
      </c>
    </row>
    <row r="79" customFormat="false" ht="15" hidden="false" customHeight="false" outlineLevel="0" collapsed="false">
      <c r="A79" s="10" t="s">
        <v>238</v>
      </c>
      <c r="B79" s="21" t="n">
        <v>45751</v>
      </c>
      <c r="C79" s="10" t="s">
        <v>156</v>
      </c>
      <c r="D79" s="10" t="s">
        <v>49</v>
      </c>
      <c r="E79" s="10" t="n">
        <v>8704</v>
      </c>
      <c r="F79" s="22" t="n">
        <v>8</v>
      </c>
      <c r="G79" s="22" t="n">
        <v>20981</v>
      </c>
      <c r="H79" s="10" t="s">
        <v>33</v>
      </c>
      <c r="I79" s="10" t="str">
        <f aca="false">IFERROR(VLOOKUP(E79,Parameters!$G$6:$H$15,2,FALSE()),"")</f>
        <v>Goods vehicles (trucks)</v>
      </c>
      <c r="J79" s="10" t="str">
        <f aca="false">IFERROR(INDEX(Name_Map!$B$2:$B$102,MATCH(D79,Name_Map!$A$2:$A$102,0)),D79)</f>
        <v>Andes Motor Group S.A.</v>
      </c>
      <c r="K79" s="22" t="n">
        <f aca="false">IF(F79&gt;0,G79/F79,0)</f>
        <v>2622.625</v>
      </c>
      <c r="L79" s="10" t="str">
        <f aca="false">IF(AND(COUNTIFS($A$2:$A$307,A79,$E$2:$E$307,E79)&gt;1,COUNTIFS($A$2:$A$307,A79,$E$2:$E$307,E79,$G$2:$G$307,G79)=COUNTIFS($A$2:$A$307,A79,$E$2:$E$307,E79)),"CHECK","OK")</f>
        <v>OK</v>
      </c>
      <c r="M79" s="22" t="n">
        <f aca="false">IF(L79="CHECK",G79/SUMIFS($F$2:$F$307,$A$2:$A$307,A79,$E$2:$E$307,E79),K79)</f>
        <v>2622.625</v>
      </c>
      <c r="N79" s="10" t="str">
        <f aca="false">IF(COUNTIF(Parameters!$E$6:$E$13,H79)&gt;0,"Yes","No")</f>
        <v>Yes</v>
      </c>
      <c r="O79" s="10" t="str">
        <f aca="false">IF(M79&lt;=Parameters!$B$3,IF(COUNTIF(Parameters!$A$6:$A$7,E79)&gt;0,"Vehicles","Out of scope"),IF(COUNTIF(Parameters!$C$6:$C$14,E79)&gt;0,"H&amp;H","Out of scope"))</f>
        <v>Vehicles</v>
      </c>
      <c r="P79" s="22" t="n">
        <f aca="false">M79*F79</f>
        <v>20981</v>
      </c>
    </row>
    <row r="80" customFormat="false" ht="15" hidden="false" customHeight="false" outlineLevel="0" collapsed="false">
      <c r="A80" s="10" t="s">
        <v>239</v>
      </c>
      <c r="B80" s="21" t="n">
        <v>45755</v>
      </c>
      <c r="C80" s="10" t="s">
        <v>156</v>
      </c>
      <c r="D80" s="10" t="s">
        <v>130</v>
      </c>
      <c r="E80" s="10" t="n">
        <v>8703</v>
      </c>
      <c r="F80" s="22" t="n">
        <v>31</v>
      </c>
      <c r="G80" s="22" t="n">
        <v>39142</v>
      </c>
      <c r="H80" s="10" t="s">
        <v>39</v>
      </c>
      <c r="I80" s="10" t="str">
        <f aca="false">IFERROR(VLOOKUP(E80,Parameters!$G$6:$H$15,2,FALSE()),"")</f>
        <v>Passenger cars</v>
      </c>
      <c r="J80" s="10" t="str">
        <f aca="false">IFERROR(INDEX(Name_Map!$B$2:$B$102,MATCH(D80,Name_Map!$A$2:$A$102,0)),D80)</f>
        <v>Pacifico Autos Ltda.</v>
      </c>
      <c r="K80" s="22" t="n">
        <f aca="false">IF(F80&gt;0,G80/F80,0)</f>
        <v>1262.64516129032</v>
      </c>
      <c r="L80" s="10" t="str">
        <f aca="false">IF(AND(COUNTIFS($A$2:$A$307,A80,$E$2:$E$307,E80)&gt;1,COUNTIFS($A$2:$A$307,A80,$E$2:$E$307,E80,$G$2:$G$307,G80)=COUNTIFS($A$2:$A$307,A80,$E$2:$E$307,E80)),"CHECK","OK")</f>
        <v>OK</v>
      </c>
      <c r="M80" s="22" t="n">
        <f aca="false">IF(L80="CHECK",G80/SUMIFS($F$2:$F$307,$A$2:$A$307,A80,$E$2:$E$307,E80),K80)</f>
        <v>1262.64516129032</v>
      </c>
      <c r="N80" s="10" t="str">
        <f aca="false">IF(COUNTIF(Parameters!$E$6:$E$13,H80)&gt;0,"Yes","No")</f>
        <v>Yes</v>
      </c>
      <c r="O80" s="10" t="str">
        <f aca="false">IF(M80&lt;=Parameters!$B$3,IF(COUNTIF(Parameters!$A$6:$A$7,E80)&gt;0,"Vehicles","Out of scope"),IF(COUNTIF(Parameters!$C$6:$C$14,E80)&gt;0,"H&amp;H","Out of scope"))</f>
        <v>Vehicles</v>
      </c>
      <c r="P80" s="22" t="n">
        <f aca="false">M80*F80</f>
        <v>39142</v>
      </c>
    </row>
    <row r="81" customFormat="false" ht="15" hidden="false" customHeight="false" outlineLevel="0" collapsed="false">
      <c r="A81" s="10" t="s">
        <v>240</v>
      </c>
      <c r="B81" s="21" t="n">
        <v>45756</v>
      </c>
      <c r="C81" s="10" t="s">
        <v>159</v>
      </c>
      <c r="D81" s="10" t="s">
        <v>104</v>
      </c>
      <c r="E81" s="10" t="n">
        <v>8426</v>
      </c>
      <c r="F81" s="22" t="n">
        <v>1</v>
      </c>
      <c r="G81" s="22" t="n">
        <v>50941</v>
      </c>
      <c r="H81" s="10" t="s">
        <v>31</v>
      </c>
      <c r="I81" s="10" t="str">
        <f aca="false">IFERROR(VLOOKUP(E81,Parameters!$G$6:$H$15,2,FALSE()),"")</f>
        <v>Cranes</v>
      </c>
      <c r="J81" s="10" t="str">
        <f aca="false">IFERROR(INDEX(Name_Map!$B$2:$B$102,MATCH(D81,Name_Map!$A$2:$A$102,0)),D81)</f>
        <v>Equinoccio Maquinaria S.A.</v>
      </c>
      <c r="K81" s="22" t="n">
        <f aca="false">IF(F81&gt;0,G81/F81,0)</f>
        <v>50941</v>
      </c>
      <c r="L81" s="10" t="str">
        <f aca="false">IF(AND(COUNTIFS($A$2:$A$307,A81,$E$2:$E$307,E81)&gt;1,COUNTIFS($A$2:$A$307,A81,$E$2:$E$307,E81,$G$2:$G$307,G81)=COUNTIFS($A$2:$A$307,A81,$E$2:$E$307,E81)),"CHECK","OK")</f>
        <v>OK</v>
      </c>
      <c r="M81" s="22" t="n">
        <f aca="false">IF(L81="CHECK",G81/SUMIFS($F$2:$F$307,$A$2:$A$307,A81,$E$2:$E$307,E81),K81)</f>
        <v>50941</v>
      </c>
      <c r="N81" s="10" t="str">
        <f aca="false">IF(COUNTIF(Parameters!$E$6:$E$13,H81)&gt;0,"Yes","No")</f>
        <v>Yes</v>
      </c>
      <c r="O81" s="10" t="str">
        <f aca="false">IF(M81&lt;=Parameters!$B$3,IF(COUNTIF(Parameters!$A$6:$A$7,E81)&gt;0,"Vehicles","Out of scope"),IF(COUNTIF(Parameters!$C$6:$C$14,E81)&gt;0,"H&amp;H","Out of scope"))</f>
        <v>H&amp;H</v>
      </c>
      <c r="P81" s="22" t="n">
        <f aca="false">M81*F81</f>
        <v>50941</v>
      </c>
    </row>
    <row r="82" customFormat="false" ht="15" hidden="false" customHeight="false" outlineLevel="0" collapsed="false">
      <c r="A82" s="10" t="s">
        <v>241</v>
      </c>
      <c r="B82" s="21" t="n">
        <v>45759</v>
      </c>
      <c r="C82" s="10" t="s">
        <v>156</v>
      </c>
      <c r="D82" s="10" t="s">
        <v>56</v>
      </c>
      <c r="E82" s="10" t="n">
        <v>8703</v>
      </c>
      <c r="F82" s="22" t="n">
        <v>30</v>
      </c>
      <c r="G82" s="22" t="n">
        <v>70680</v>
      </c>
      <c r="H82" s="10" t="s">
        <v>242</v>
      </c>
      <c r="I82" s="10" t="str">
        <f aca="false">IFERROR(VLOOKUP(E82,Parameters!$G$6:$H$15,2,FALSE()),"")</f>
        <v>Passenger cars</v>
      </c>
      <c r="J82" s="10" t="str">
        <f aca="false">IFERROR(INDEX(Name_Map!$B$2:$B$102,MATCH(D82,Name_Map!$A$2:$A$102,0)),D82)</f>
        <v>Austral Truck Center SpA</v>
      </c>
      <c r="K82" s="22" t="n">
        <f aca="false">IF(F82&gt;0,G82/F82,0)</f>
        <v>2356</v>
      </c>
      <c r="L82" s="10" t="str">
        <f aca="false">IF(AND(COUNTIFS($A$2:$A$307,A82,$E$2:$E$307,E82)&gt;1,COUNTIFS($A$2:$A$307,A82,$E$2:$E$307,E82,$G$2:$G$307,G82)=COUNTIFS($A$2:$A$307,A82,$E$2:$E$307,E82)),"CHECK","OK")</f>
        <v>OK</v>
      </c>
      <c r="M82" s="22" t="n">
        <f aca="false">IF(L82="CHECK",G82/SUMIFS($F$2:$F$307,$A$2:$A$307,A82,$E$2:$E$307,E82),K82)</f>
        <v>2356</v>
      </c>
      <c r="N82" s="10" t="str">
        <f aca="false">IF(COUNTIF(Parameters!$E$6:$E$13,H82)&gt;0,"Yes","No")</f>
        <v>No</v>
      </c>
      <c r="O82" s="10" t="str">
        <f aca="false">IF(M82&lt;=Parameters!$B$3,IF(COUNTIF(Parameters!$A$6:$A$7,E82)&gt;0,"Vehicles","Out of scope"),IF(COUNTIF(Parameters!$C$6:$C$14,E82)&gt;0,"H&amp;H","Out of scope"))</f>
        <v>Vehicles</v>
      </c>
      <c r="P82" s="22" t="n">
        <f aca="false">M82*F82</f>
        <v>70680</v>
      </c>
    </row>
    <row r="83" customFormat="false" ht="15" hidden="false" customHeight="false" outlineLevel="0" collapsed="false">
      <c r="A83" s="10" t="s">
        <v>243</v>
      </c>
      <c r="B83" s="21" t="n">
        <v>45760</v>
      </c>
      <c r="C83" s="10" t="s">
        <v>157</v>
      </c>
      <c r="D83" s="10" t="s">
        <v>75</v>
      </c>
      <c r="E83" s="10" t="n">
        <v>8703</v>
      </c>
      <c r="F83" s="22" t="n">
        <v>16</v>
      </c>
      <c r="G83" s="22" t="n">
        <v>19219</v>
      </c>
      <c r="H83" s="10" t="s">
        <v>214</v>
      </c>
      <c r="I83" s="10" t="str">
        <f aca="false">IFERROR(VLOOKUP(E83,Parameters!$G$6:$H$15,2,FALSE()),"")</f>
        <v>Passenger cars</v>
      </c>
      <c r="J83" s="10" t="str">
        <f aca="false">IFERROR(INDEX(Name_Map!$B$2:$B$102,MATCH(D83,Name_Map!$A$2:$A$102,0)),D83)</f>
        <v>Caribe Motores S.A.S.</v>
      </c>
      <c r="K83" s="22" t="n">
        <f aca="false">IF(F83&gt;0,G83/F83,0)</f>
        <v>1201.1875</v>
      </c>
      <c r="L83" s="10" t="str">
        <f aca="false">IF(AND(COUNTIFS($A$2:$A$307,A83,$E$2:$E$307,E83)&gt;1,COUNTIFS($A$2:$A$307,A83,$E$2:$E$307,E83,$G$2:$G$307,G83)=COUNTIFS($A$2:$A$307,A83,$E$2:$E$307,E83)),"CHECK","OK")</f>
        <v>OK</v>
      </c>
      <c r="M83" s="22" t="n">
        <f aca="false">IF(L83="CHECK",G83/SUMIFS($F$2:$F$307,$A$2:$A$307,A83,$E$2:$E$307,E83),K83)</f>
        <v>1201.1875</v>
      </c>
      <c r="N83" s="10" t="str">
        <f aca="false">IF(COUNTIF(Parameters!$E$6:$E$13,H83)&gt;0,"Yes","No")</f>
        <v>No</v>
      </c>
      <c r="O83" s="10" t="str">
        <f aca="false">IF(M83&lt;=Parameters!$B$3,IF(COUNTIF(Parameters!$A$6:$A$7,E83)&gt;0,"Vehicles","Out of scope"),IF(COUNTIF(Parameters!$C$6:$C$14,E83)&gt;0,"H&amp;H","Out of scope"))</f>
        <v>Vehicles</v>
      </c>
      <c r="P83" s="22" t="n">
        <f aca="false">M83*F83</f>
        <v>19219</v>
      </c>
    </row>
    <row r="84" customFormat="false" ht="15" hidden="false" customHeight="false" outlineLevel="0" collapsed="false">
      <c r="A84" s="10" t="s">
        <v>244</v>
      </c>
      <c r="B84" s="21" t="n">
        <v>45760</v>
      </c>
      <c r="C84" s="10" t="s">
        <v>160</v>
      </c>
      <c r="D84" s="10" t="s">
        <v>142</v>
      </c>
      <c r="E84" s="10" t="n">
        <v>8703</v>
      </c>
      <c r="F84" s="22" t="n">
        <v>36</v>
      </c>
      <c r="G84" s="22" t="n">
        <v>76366</v>
      </c>
      <c r="H84" s="10" t="s">
        <v>180</v>
      </c>
      <c r="I84" s="10" t="str">
        <f aca="false">IFERROR(VLOOKUP(E84,Parameters!$G$6:$H$15,2,FALSE()),"")</f>
        <v>Passenger cars</v>
      </c>
      <c r="J84" s="10" t="str">
        <f aca="false">IFERROR(INDEX(Name_Map!$B$2:$B$102,MATCH(D84,Name_Map!$A$2:$A$102,0)),D84)</f>
        <v>Santo Domingo Autos S.R.L.</v>
      </c>
      <c r="K84" s="22" t="n">
        <f aca="false">IF(F84&gt;0,G84/F84,0)</f>
        <v>2121.27777777778</v>
      </c>
      <c r="L84" s="10" t="str">
        <f aca="false">IF(AND(COUNTIFS($A$2:$A$307,A84,$E$2:$E$307,E84)&gt;1,COUNTIFS($A$2:$A$307,A84,$E$2:$E$307,E84,$G$2:$G$307,G84)=COUNTIFS($A$2:$A$307,A84,$E$2:$E$307,E84)),"CHECK","OK")</f>
        <v>OK</v>
      </c>
      <c r="M84" s="22" t="n">
        <f aca="false">IF(L84="CHECK",G84/SUMIFS($F$2:$F$307,$A$2:$A$307,A84,$E$2:$E$307,E84),K84)</f>
        <v>2121.27777777778</v>
      </c>
      <c r="N84" s="10" t="str">
        <f aca="false">IF(COUNTIF(Parameters!$E$6:$E$13,H84)&gt;0,"Yes","No")</f>
        <v>No</v>
      </c>
      <c r="O84" s="10" t="str">
        <f aca="false">IF(M84&lt;=Parameters!$B$3,IF(COUNTIF(Parameters!$A$6:$A$7,E84)&gt;0,"Vehicles","Out of scope"),IF(COUNTIF(Parameters!$C$6:$C$14,E84)&gt;0,"H&amp;H","Out of scope"))</f>
        <v>Vehicles</v>
      </c>
      <c r="P84" s="22" t="n">
        <f aca="false">M84*F84</f>
        <v>76366</v>
      </c>
    </row>
    <row r="85" customFormat="false" ht="15" hidden="false" customHeight="false" outlineLevel="0" collapsed="false">
      <c r="A85" s="10" t="s">
        <v>244</v>
      </c>
      <c r="B85" s="21" t="n">
        <v>45760</v>
      </c>
      <c r="C85" s="10" t="s">
        <v>160</v>
      </c>
      <c r="D85" s="10" t="s">
        <v>144</v>
      </c>
      <c r="E85" s="10" t="n">
        <v>8703</v>
      </c>
      <c r="F85" s="22" t="n">
        <v>20</v>
      </c>
      <c r="G85" s="22" t="n">
        <v>37626</v>
      </c>
      <c r="H85" s="10" t="s">
        <v>180</v>
      </c>
      <c r="I85" s="10" t="str">
        <f aca="false">IFERROR(VLOOKUP(E85,Parameters!$G$6:$H$15,2,FALSE()),"")</f>
        <v>Passenger cars</v>
      </c>
      <c r="J85" s="10" t="str">
        <f aca="false">IFERROR(INDEX(Name_Map!$B$2:$B$102,MATCH(D85,Name_Map!$A$2:$A$102,0)),D85)</f>
        <v>Santo Domingo Autos S.R.L.</v>
      </c>
      <c r="K85" s="22" t="n">
        <f aca="false">IF(F85&gt;0,G85/F85,0)</f>
        <v>1881.3</v>
      </c>
      <c r="L85" s="10" t="str">
        <f aca="false">IF(AND(COUNTIFS($A$2:$A$307,A85,$E$2:$E$307,E85)&gt;1,COUNTIFS($A$2:$A$307,A85,$E$2:$E$307,E85,$G$2:$G$307,G85)=COUNTIFS($A$2:$A$307,A85,$E$2:$E$307,E85)),"CHECK","OK")</f>
        <v>OK</v>
      </c>
      <c r="M85" s="22" t="n">
        <f aca="false">IF(L85="CHECK",G85/SUMIFS($F$2:$F$307,$A$2:$A$307,A85,$E$2:$E$307,E85),K85)</f>
        <v>1881.3</v>
      </c>
      <c r="N85" s="10" t="str">
        <f aca="false">IF(COUNTIF(Parameters!$E$6:$E$13,H85)&gt;0,"Yes","No")</f>
        <v>No</v>
      </c>
      <c r="O85" s="10" t="str">
        <f aca="false">IF(M85&lt;=Parameters!$B$3,IF(COUNTIF(Parameters!$A$6:$A$7,E85)&gt;0,"Vehicles","Out of scope"),IF(COUNTIF(Parameters!$C$6:$C$14,E85)&gt;0,"H&amp;H","Out of scope"))</f>
        <v>Vehicles</v>
      </c>
      <c r="P85" s="22" t="n">
        <f aca="false">M85*F85</f>
        <v>37626</v>
      </c>
    </row>
    <row r="86" customFormat="false" ht="15" hidden="false" customHeight="false" outlineLevel="0" collapsed="false">
      <c r="A86" s="10" t="s">
        <v>245</v>
      </c>
      <c r="B86" s="21" t="n">
        <v>45760</v>
      </c>
      <c r="C86" s="10" t="s">
        <v>160</v>
      </c>
      <c r="D86" s="10" t="s">
        <v>143</v>
      </c>
      <c r="E86" s="10" t="n">
        <v>8704</v>
      </c>
      <c r="F86" s="22" t="n">
        <v>30</v>
      </c>
      <c r="G86" s="22" t="n">
        <v>87610</v>
      </c>
      <c r="H86" s="10" t="s">
        <v>29</v>
      </c>
      <c r="I86" s="10" t="str">
        <f aca="false">IFERROR(VLOOKUP(E86,Parameters!$G$6:$H$15,2,FALSE()),"")</f>
        <v>Goods vehicles (trucks)</v>
      </c>
      <c r="J86" s="10" t="str">
        <f aca="false">IFERROR(INDEX(Name_Map!$B$2:$B$102,MATCH(D86,Name_Map!$A$2:$A$102,0)),D86)</f>
        <v>Santo Domingo Autos S.R.L.</v>
      </c>
      <c r="K86" s="22" t="n">
        <f aca="false">IF(F86&gt;0,G86/F86,0)</f>
        <v>2920.33333333333</v>
      </c>
      <c r="L86" s="10" t="str">
        <f aca="false">IF(AND(COUNTIFS($A$2:$A$307,A86,$E$2:$E$307,E86)&gt;1,COUNTIFS($A$2:$A$307,A86,$E$2:$E$307,E86,$G$2:$G$307,G86)=COUNTIFS($A$2:$A$307,A86,$E$2:$E$307,E86)),"CHECK","OK")</f>
        <v>OK</v>
      </c>
      <c r="M86" s="22" t="n">
        <f aca="false">IF(L86="CHECK",G86/SUMIFS($F$2:$F$307,$A$2:$A$307,A86,$E$2:$E$307,E86),K86)</f>
        <v>2920.33333333333</v>
      </c>
      <c r="N86" s="10" t="str">
        <f aca="false">IF(COUNTIF(Parameters!$E$6:$E$13,H86)&gt;0,"Yes","No")</f>
        <v>Yes</v>
      </c>
      <c r="O86" s="10" t="str">
        <f aca="false">IF(M86&lt;=Parameters!$B$3,IF(COUNTIF(Parameters!$A$6:$A$7,E86)&gt;0,"Vehicles","Out of scope"),IF(COUNTIF(Parameters!$C$6:$C$14,E86)&gt;0,"H&amp;H","Out of scope"))</f>
        <v>Vehicles</v>
      </c>
      <c r="P86" s="22" t="n">
        <f aca="false">M86*F86</f>
        <v>87610</v>
      </c>
    </row>
    <row r="87" customFormat="false" ht="15" hidden="false" customHeight="false" outlineLevel="0" collapsed="false">
      <c r="A87" s="10" t="s">
        <v>246</v>
      </c>
      <c r="B87" s="21" t="n">
        <v>45760</v>
      </c>
      <c r="C87" s="10" t="s">
        <v>160</v>
      </c>
      <c r="D87" s="10" t="s">
        <v>142</v>
      </c>
      <c r="E87" s="10" t="n">
        <v>8703</v>
      </c>
      <c r="F87" s="22" t="n">
        <v>37</v>
      </c>
      <c r="G87" s="22" t="n">
        <v>85984</v>
      </c>
      <c r="H87" s="10" t="s">
        <v>223</v>
      </c>
      <c r="I87" s="10" t="str">
        <f aca="false">IFERROR(VLOOKUP(E87,Parameters!$G$6:$H$15,2,FALSE()),"")</f>
        <v>Passenger cars</v>
      </c>
      <c r="J87" s="10" t="str">
        <f aca="false">IFERROR(INDEX(Name_Map!$B$2:$B$102,MATCH(D87,Name_Map!$A$2:$A$102,0)),D87)</f>
        <v>Santo Domingo Autos S.R.L.</v>
      </c>
      <c r="K87" s="22" t="n">
        <f aca="false">IF(F87&gt;0,G87/F87,0)</f>
        <v>2323.89189189189</v>
      </c>
      <c r="L87" s="10" t="str">
        <f aca="false">IF(AND(COUNTIFS($A$2:$A$307,A87,$E$2:$E$307,E87)&gt;1,COUNTIFS($A$2:$A$307,A87,$E$2:$E$307,E87,$G$2:$G$307,G87)=COUNTIFS($A$2:$A$307,A87,$E$2:$E$307,E87)),"CHECK","OK")</f>
        <v>OK</v>
      </c>
      <c r="M87" s="22" t="n">
        <f aca="false">IF(L87="CHECK",G87/SUMIFS($F$2:$F$307,$A$2:$A$307,A87,$E$2:$E$307,E87),K87)</f>
        <v>2323.89189189189</v>
      </c>
      <c r="N87" s="10" t="str">
        <f aca="false">IF(COUNTIF(Parameters!$E$6:$E$13,H87)&gt;0,"Yes","No")</f>
        <v>No</v>
      </c>
      <c r="O87" s="10" t="str">
        <f aca="false">IF(M87&lt;=Parameters!$B$3,IF(COUNTIF(Parameters!$A$6:$A$7,E87)&gt;0,"Vehicles","Out of scope"),IF(COUNTIF(Parameters!$C$6:$C$14,E87)&gt;0,"H&amp;H","Out of scope"))</f>
        <v>Vehicles</v>
      </c>
      <c r="P87" s="22" t="n">
        <f aca="false">M87*F87</f>
        <v>85984</v>
      </c>
    </row>
    <row r="88" customFormat="false" ht="15" hidden="false" customHeight="false" outlineLevel="0" collapsed="false">
      <c r="A88" s="10" t="s">
        <v>247</v>
      </c>
      <c r="B88" s="21" t="n">
        <v>45764</v>
      </c>
      <c r="C88" s="10" t="s">
        <v>157</v>
      </c>
      <c r="D88" s="10" t="s">
        <v>146</v>
      </c>
      <c r="E88" s="10" t="n">
        <v>8704</v>
      </c>
      <c r="F88" s="22" t="n">
        <v>2</v>
      </c>
      <c r="G88" s="22" t="n">
        <v>40890</v>
      </c>
      <c r="H88" s="10" t="s">
        <v>180</v>
      </c>
      <c r="I88" s="10" t="str">
        <f aca="false">IFERROR(VLOOKUP(E88,Parameters!$G$6:$H$15,2,FALSE()),"")</f>
        <v>Goods vehicles (trucks)</v>
      </c>
      <c r="J88" s="10" t="str">
        <f aca="false">IFERROR(INDEX(Name_Map!$B$2:$B$102,MATCH(D88,Name_Map!$A$2:$A$102,0)),D88)</f>
        <v>Transcargo Pesados S.A.S.</v>
      </c>
      <c r="K88" s="22" t="n">
        <f aca="false">IF(F88&gt;0,G88/F88,0)</f>
        <v>20445</v>
      </c>
      <c r="L88" s="10" t="str">
        <f aca="false">IF(AND(COUNTIFS($A$2:$A$307,A88,$E$2:$E$307,E88)&gt;1,COUNTIFS($A$2:$A$307,A88,$E$2:$E$307,E88,$G$2:$G$307,G88)=COUNTIFS($A$2:$A$307,A88,$E$2:$E$307,E88)),"CHECK","OK")</f>
        <v>OK</v>
      </c>
      <c r="M88" s="22" t="n">
        <f aca="false">IF(L88="CHECK",G88/SUMIFS($F$2:$F$307,$A$2:$A$307,A88,$E$2:$E$307,E88),K88)</f>
        <v>20445</v>
      </c>
      <c r="N88" s="10" t="str">
        <f aca="false">IF(COUNTIF(Parameters!$E$6:$E$13,H88)&gt;0,"Yes","No")</f>
        <v>No</v>
      </c>
      <c r="O88" s="10" t="str">
        <f aca="false">IF(M88&lt;=Parameters!$B$3,IF(COUNTIF(Parameters!$A$6:$A$7,E88)&gt;0,"Vehicles","Out of scope"),IF(COUNTIF(Parameters!$C$6:$C$14,E88)&gt;0,"H&amp;H","Out of scope"))</f>
        <v>H&amp;H</v>
      </c>
      <c r="P88" s="22" t="n">
        <f aca="false">M88*F88</f>
        <v>40890</v>
      </c>
    </row>
    <row r="89" customFormat="false" ht="15" hidden="false" customHeight="false" outlineLevel="0" collapsed="false">
      <c r="A89" s="10" t="s">
        <v>248</v>
      </c>
      <c r="B89" s="21" t="n">
        <v>45766</v>
      </c>
      <c r="C89" s="10" t="s">
        <v>156</v>
      </c>
      <c r="D89" s="10" t="s">
        <v>56</v>
      </c>
      <c r="E89" s="10" t="n">
        <v>8703</v>
      </c>
      <c r="F89" s="22" t="n">
        <v>21</v>
      </c>
      <c r="G89" s="22" t="n">
        <v>41390</v>
      </c>
      <c r="H89" s="10" t="s">
        <v>182</v>
      </c>
      <c r="I89" s="10" t="str">
        <f aca="false">IFERROR(VLOOKUP(E89,Parameters!$G$6:$H$15,2,FALSE()),"")</f>
        <v>Passenger cars</v>
      </c>
      <c r="J89" s="10" t="str">
        <f aca="false">IFERROR(INDEX(Name_Map!$B$2:$B$102,MATCH(D89,Name_Map!$A$2:$A$102,0)),D89)</f>
        <v>Austral Truck Center SpA</v>
      </c>
      <c r="K89" s="22" t="n">
        <f aca="false">IF(F89&gt;0,G89/F89,0)</f>
        <v>1970.95238095238</v>
      </c>
      <c r="L89" s="10" t="str">
        <f aca="false">IF(AND(COUNTIFS($A$2:$A$307,A89,$E$2:$E$307,E89)&gt;1,COUNTIFS($A$2:$A$307,A89,$E$2:$E$307,E89,$G$2:$G$307,G89)=COUNTIFS($A$2:$A$307,A89,$E$2:$E$307,E89)),"CHECK","OK")</f>
        <v>OK</v>
      </c>
      <c r="M89" s="22" t="n">
        <f aca="false">IF(L89="CHECK",G89/SUMIFS($F$2:$F$307,$A$2:$A$307,A89,$E$2:$E$307,E89),K89)</f>
        <v>1970.95238095238</v>
      </c>
      <c r="N89" s="10" t="str">
        <f aca="false">IF(COUNTIF(Parameters!$E$6:$E$13,H89)&gt;0,"Yes","No")</f>
        <v>No</v>
      </c>
      <c r="O89" s="10" t="str">
        <f aca="false">IF(M89&lt;=Parameters!$B$3,IF(COUNTIF(Parameters!$A$6:$A$7,E89)&gt;0,"Vehicles","Out of scope"),IF(COUNTIF(Parameters!$C$6:$C$14,E89)&gt;0,"H&amp;H","Out of scope"))</f>
        <v>Vehicles</v>
      </c>
      <c r="P89" s="22" t="n">
        <f aca="false">M89*F89</f>
        <v>41390</v>
      </c>
    </row>
    <row r="90" customFormat="false" ht="15" hidden="false" customHeight="false" outlineLevel="0" collapsed="false">
      <c r="A90" s="10" t="s">
        <v>248</v>
      </c>
      <c r="B90" s="21" t="n">
        <v>45766</v>
      </c>
      <c r="C90" s="10" t="s">
        <v>156</v>
      </c>
      <c r="D90" s="10" t="s">
        <v>56</v>
      </c>
      <c r="E90" s="10" t="n">
        <v>8703</v>
      </c>
      <c r="F90" s="22" t="n">
        <v>30</v>
      </c>
      <c r="G90" s="22" t="n">
        <v>66301</v>
      </c>
      <c r="H90" s="10" t="s">
        <v>182</v>
      </c>
      <c r="I90" s="10" t="str">
        <f aca="false">IFERROR(VLOOKUP(E90,Parameters!$G$6:$H$15,2,FALSE()),"")</f>
        <v>Passenger cars</v>
      </c>
      <c r="J90" s="10" t="str">
        <f aca="false">IFERROR(INDEX(Name_Map!$B$2:$B$102,MATCH(D90,Name_Map!$A$2:$A$102,0)),D90)</f>
        <v>Austral Truck Center SpA</v>
      </c>
      <c r="K90" s="22" t="n">
        <f aca="false">IF(F90&gt;0,G90/F90,0)</f>
        <v>2210.03333333333</v>
      </c>
      <c r="L90" s="10" t="str">
        <f aca="false">IF(AND(COUNTIFS($A$2:$A$307,A90,$E$2:$E$307,E90)&gt;1,COUNTIFS($A$2:$A$307,A90,$E$2:$E$307,E90,$G$2:$G$307,G90)=COUNTIFS($A$2:$A$307,A90,$E$2:$E$307,E90)),"CHECK","OK")</f>
        <v>OK</v>
      </c>
      <c r="M90" s="22" t="n">
        <f aca="false">IF(L90="CHECK",G90/SUMIFS($F$2:$F$307,$A$2:$A$307,A90,$E$2:$E$307,E90),K90)</f>
        <v>2210.03333333333</v>
      </c>
      <c r="N90" s="10" t="str">
        <f aca="false">IF(COUNTIF(Parameters!$E$6:$E$13,H90)&gt;0,"Yes","No")</f>
        <v>No</v>
      </c>
      <c r="O90" s="10" t="str">
        <f aca="false">IF(M90&lt;=Parameters!$B$3,IF(COUNTIF(Parameters!$A$6:$A$7,E90)&gt;0,"Vehicles","Out of scope"),IF(COUNTIF(Parameters!$C$6:$C$14,E90)&gt;0,"H&amp;H","Out of scope"))</f>
        <v>Vehicles</v>
      </c>
      <c r="P90" s="22" t="n">
        <f aca="false">M90*F90</f>
        <v>66301</v>
      </c>
    </row>
    <row r="91" customFormat="false" ht="15" hidden="false" customHeight="false" outlineLevel="0" collapsed="false">
      <c r="A91" s="10" t="s">
        <v>249</v>
      </c>
      <c r="B91" s="21" t="n">
        <v>45766</v>
      </c>
      <c r="C91" s="10" t="s">
        <v>159</v>
      </c>
      <c r="D91" s="10" t="s">
        <v>107</v>
      </c>
      <c r="E91" s="10" t="n">
        <v>8703</v>
      </c>
      <c r="F91" s="22" t="n">
        <v>9</v>
      </c>
      <c r="G91" s="22" t="n">
        <v>10540</v>
      </c>
      <c r="H91" s="10" t="s">
        <v>182</v>
      </c>
      <c r="I91" s="10" t="str">
        <f aca="false">IFERROR(VLOOKUP(E91,Parameters!$G$6:$H$15,2,FALSE()),"")</f>
        <v>Passenger cars</v>
      </c>
      <c r="J91" s="10" t="str">
        <f aca="false">IFERROR(INDEX(Name_Map!$B$2:$B$102,MATCH(D91,Name_Map!$A$2:$A$102,0)),D91)</f>
        <v>Guayas Autos S.A.</v>
      </c>
      <c r="K91" s="22" t="n">
        <f aca="false">IF(F91&gt;0,G91/F91,0)</f>
        <v>1171.11111111111</v>
      </c>
      <c r="L91" s="10" t="str">
        <f aca="false">IF(AND(COUNTIFS($A$2:$A$307,A91,$E$2:$E$307,E91)&gt;1,COUNTIFS($A$2:$A$307,A91,$E$2:$E$307,E91,$G$2:$G$307,G91)=COUNTIFS($A$2:$A$307,A91,$E$2:$E$307,E91)),"CHECK","OK")</f>
        <v>OK</v>
      </c>
      <c r="M91" s="22" t="n">
        <f aca="false">IF(L91="CHECK",G91/SUMIFS($F$2:$F$307,$A$2:$A$307,A91,$E$2:$E$307,E91),K91)</f>
        <v>1171.11111111111</v>
      </c>
      <c r="N91" s="10" t="str">
        <f aca="false">IF(COUNTIF(Parameters!$E$6:$E$13,H91)&gt;0,"Yes","No")</f>
        <v>No</v>
      </c>
      <c r="O91" s="10" t="str">
        <f aca="false">IF(M91&lt;=Parameters!$B$3,IF(COUNTIF(Parameters!$A$6:$A$7,E91)&gt;0,"Vehicles","Out of scope"),IF(COUNTIF(Parameters!$C$6:$C$14,E91)&gt;0,"H&amp;H","Out of scope"))</f>
        <v>Vehicles</v>
      </c>
      <c r="P91" s="22" t="n">
        <f aca="false">M91*F91</f>
        <v>10540</v>
      </c>
    </row>
    <row r="92" customFormat="false" ht="15" hidden="false" customHeight="false" outlineLevel="0" collapsed="false">
      <c r="A92" s="10" t="s">
        <v>250</v>
      </c>
      <c r="B92" s="21" t="n">
        <v>45769</v>
      </c>
      <c r="C92" s="10" t="s">
        <v>161</v>
      </c>
      <c r="D92" s="10" t="s">
        <v>116</v>
      </c>
      <c r="E92" s="10" t="n">
        <v>8704</v>
      </c>
      <c r="F92" s="22" t="n">
        <v>20</v>
      </c>
      <c r="G92" s="22" t="n">
        <v>82433</v>
      </c>
      <c r="H92" s="10" t="s">
        <v>182</v>
      </c>
      <c r="I92" s="10" t="str">
        <f aca="false">IFERROR(VLOOKUP(E92,Parameters!$G$6:$H$15,2,FALSE()),"")</f>
        <v>Goods vehicles (trucks)</v>
      </c>
      <c r="J92" s="10" t="str">
        <f aca="false">IFERROR(INDEX(Name_Map!$B$2:$B$102,MATCH(D92,Name_Map!$A$2:$A$102,0)),D92)</f>
        <v>Istmo Motors S.A.</v>
      </c>
      <c r="K92" s="22" t="n">
        <f aca="false">IF(F92&gt;0,G92/F92,0)</f>
        <v>4121.65</v>
      </c>
      <c r="L92" s="10" t="str">
        <f aca="false">IF(AND(COUNTIFS($A$2:$A$307,A92,$E$2:$E$307,E92)&gt;1,COUNTIFS($A$2:$A$307,A92,$E$2:$E$307,E92,$G$2:$G$307,G92)=COUNTIFS($A$2:$A$307,A92,$E$2:$E$307,E92)),"CHECK","OK")</f>
        <v>OK</v>
      </c>
      <c r="M92" s="22" t="n">
        <f aca="false">IF(L92="CHECK",G92/SUMIFS($F$2:$F$307,$A$2:$A$307,A92,$E$2:$E$307,E92),K92)</f>
        <v>4121.65</v>
      </c>
      <c r="N92" s="10" t="str">
        <f aca="false">IF(COUNTIF(Parameters!$E$6:$E$13,H92)&gt;0,"Yes","No")</f>
        <v>No</v>
      </c>
      <c r="O92" s="10" t="str">
        <f aca="false">IF(M92&lt;=Parameters!$B$3,IF(COUNTIF(Parameters!$A$6:$A$7,E92)&gt;0,"Vehicles","Out of scope"),IF(COUNTIF(Parameters!$C$6:$C$14,E92)&gt;0,"H&amp;H","Out of scope"))</f>
        <v>Vehicles</v>
      </c>
      <c r="P92" s="22" t="n">
        <f aca="false">M92*F92</f>
        <v>82433</v>
      </c>
    </row>
    <row r="93" customFormat="false" ht="15" hidden="false" customHeight="false" outlineLevel="0" collapsed="false">
      <c r="A93" s="10" t="s">
        <v>251</v>
      </c>
      <c r="B93" s="21" t="n">
        <v>45769</v>
      </c>
      <c r="C93" s="10" t="s">
        <v>158</v>
      </c>
      <c r="D93" s="10" t="s">
        <v>84</v>
      </c>
      <c r="E93" s="10" t="n">
        <v>8427</v>
      </c>
      <c r="F93" s="22" t="n">
        <v>3</v>
      </c>
      <c r="G93" s="22" t="n">
        <v>33795</v>
      </c>
      <c r="H93" s="10" t="s">
        <v>33</v>
      </c>
      <c r="I93" s="10" t="str">
        <f aca="false">IFERROR(VLOOKUP(E93,Parameters!$G$6:$H$15,2,FALSE()),"")</f>
        <v>Forklift trucks</v>
      </c>
      <c r="J93" s="10" t="str">
        <f aca="false">IFERROR(INDEX(Name_Map!$B$2:$B$102,MATCH(D93,Name_Map!$A$2:$A$102,0)),D93)</f>
        <v>Costa Verde Maquinarias S.A.</v>
      </c>
      <c r="K93" s="22" t="n">
        <f aca="false">IF(F93&gt;0,G93/F93,0)</f>
        <v>11265</v>
      </c>
      <c r="L93" s="10" t="str">
        <f aca="false">IF(AND(COUNTIFS($A$2:$A$307,A93,$E$2:$E$307,E93)&gt;1,COUNTIFS($A$2:$A$307,A93,$E$2:$E$307,E93,$G$2:$G$307,G93)=COUNTIFS($A$2:$A$307,A93,$E$2:$E$307,E93)),"CHECK","OK")</f>
        <v>OK</v>
      </c>
      <c r="M93" s="22" t="n">
        <f aca="false">IF(L93="CHECK",G93/SUMIFS($F$2:$F$307,$A$2:$A$307,A93,$E$2:$E$307,E93),K93)</f>
        <v>11265</v>
      </c>
      <c r="N93" s="10" t="str">
        <f aca="false">IF(COUNTIF(Parameters!$E$6:$E$13,H93)&gt;0,"Yes","No")</f>
        <v>Yes</v>
      </c>
      <c r="O93" s="10" t="str">
        <f aca="false">IF(M93&lt;=Parameters!$B$3,IF(COUNTIF(Parameters!$A$6:$A$7,E93)&gt;0,"Vehicles","Out of scope"),IF(COUNTIF(Parameters!$C$6:$C$14,E93)&gt;0,"H&amp;H","Out of scope"))</f>
        <v>Out of scope</v>
      </c>
      <c r="P93" s="22" t="n">
        <f aca="false">M93*F93</f>
        <v>33795</v>
      </c>
    </row>
    <row r="94" customFormat="false" ht="15" hidden="false" customHeight="false" outlineLevel="0" collapsed="false">
      <c r="A94" s="10" t="s">
        <v>252</v>
      </c>
      <c r="B94" s="21" t="n">
        <v>45771</v>
      </c>
      <c r="C94" s="10" t="s">
        <v>158</v>
      </c>
      <c r="D94" s="10" t="s">
        <v>96</v>
      </c>
      <c r="E94" s="10" t="n">
        <v>8426</v>
      </c>
      <c r="F94" s="22" t="n">
        <v>4</v>
      </c>
      <c r="G94" s="22" t="n">
        <v>37522</v>
      </c>
      <c r="H94" s="10" t="s">
        <v>242</v>
      </c>
      <c r="I94" s="10" t="str">
        <f aca="false">IFERROR(VLOOKUP(E94,Parameters!$G$6:$H$15,2,FALSE()),"")</f>
        <v>Cranes</v>
      </c>
      <c r="J94" s="10" t="str">
        <f aca="false">IFERROR(INDEX(Name_Map!$B$2:$B$102,MATCH(D94,Name_Map!$A$2:$A$102,0)),D94)</f>
        <v>Costa Verde Maquinarias S.A.</v>
      </c>
      <c r="K94" s="22" t="n">
        <f aca="false">IF(F94&gt;0,G94/F94,0)</f>
        <v>9380.5</v>
      </c>
      <c r="L94" s="10" t="str">
        <f aca="false">IF(AND(COUNTIFS($A$2:$A$307,A94,$E$2:$E$307,E94)&gt;1,COUNTIFS($A$2:$A$307,A94,$E$2:$E$307,E94,$G$2:$G$307,G94)=COUNTIFS($A$2:$A$307,A94,$E$2:$E$307,E94)),"CHECK","OK")</f>
        <v>OK</v>
      </c>
      <c r="M94" s="22" t="n">
        <f aca="false">IF(L94="CHECK",G94/SUMIFS($F$2:$F$307,$A$2:$A$307,A94,$E$2:$E$307,E94),K94)</f>
        <v>9380.5</v>
      </c>
      <c r="N94" s="10" t="str">
        <f aca="false">IF(COUNTIF(Parameters!$E$6:$E$13,H94)&gt;0,"Yes","No")</f>
        <v>No</v>
      </c>
      <c r="O94" s="10" t="str">
        <f aca="false">IF(M94&lt;=Parameters!$B$3,IF(COUNTIF(Parameters!$A$6:$A$7,E94)&gt;0,"Vehicles","Out of scope"),IF(COUNTIF(Parameters!$C$6:$C$14,E94)&gt;0,"H&amp;H","Out of scope"))</f>
        <v>Out of scope</v>
      </c>
      <c r="P94" s="22" t="n">
        <f aca="false">M94*F94</f>
        <v>37522</v>
      </c>
    </row>
    <row r="95" customFormat="false" ht="15" hidden="false" customHeight="false" outlineLevel="0" collapsed="false">
      <c r="A95" s="10" t="s">
        <v>252</v>
      </c>
      <c r="B95" s="21" t="n">
        <v>45771</v>
      </c>
      <c r="C95" s="10" t="s">
        <v>158</v>
      </c>
      <c r="D95" s="10" t="s">
        <v>84</v>
      </c>
      <c r="E95" s="10" t="n">
        <v>8429</v>
      </c>
      <c r="F95" s="22" t="n">
        <v>1</v>
      </c>
      <c r="G95" s="22" t="n">
        <v>13461</v>
      </c>
      <c r="H95" s="10" t="s">
        <v>242</v>
      </c>
      <c r="I95" s="10" t="str">
        <f aca="false">IFERROR(VLOOKUP(E95,Parameters!$G$6:$H$15,2,FALSE()),"")</f>
        <v>Bulldozers / excavators / loaders</v>
      </c>
      <c r="J95" s="10" t="str">
        <f aca="false">IFERROR(INDEX(Name_Map!$B$2:$B$102,MATCH(D95,Name_Map!$A$2:$A$102,0)),D95)</f>
        <v>Costa Verde Maquinarias S.A.</v>
      </c>
      <c r="K95" s="22" t="n">
        <f aca="false">IF(F95&gt;0,G95/F95,0)</f>
        <v>13461</v>
      </c>
      <c r="L95" s="10" t="str">
        <f aca="false">IF(AND(COUNTIFS($A$2:$A$307,A95,$E$2:$E$307,E95)&gt;1,COUNTIFS($A$2:$A$307,A95,$E$2:$E$307,E95,$G$2:$G$307,G95)=COUNTIFS($A$2:$A$307,A95,$E$2:$E$307,E95)),"CHECK","OK")</f>
        <v>OK</v>
      </c>
      <c r="M95" s="22" t="n">
        <f aca="false">IF(L95="CHECK",G95/SUMIFS($F$2:$F$307,$A$2:$A$307,A95,$E$2:$E$307,E95),K95)</f>
        <v>13461</v>
      </c>
      <c r="N95" s="10" t="str">
        <f aca="false">IF(COUNTIF(Parameters!$E$6:$E$13,H95)&gt;0,"Yes","No")</f>
        <v>No</v>
      </c>
      <c r="O95" s="10" t="str">
        <f aca="false">IF(M95&lt;=Parameters!$B$3,IF(COUNTIF(Parameters!$A$6:$A$7,E95)&gt;0,"Vehicles","Out of scope"),IF(COUNTIF(Parameters!$C$6:$C$14,E95)&gt;0,"H&amp;H","Out of scope"))</f>
        <v>Out of scope</v>
      </c>
      <c r="P95" s="22" t="n">
        <f aca="false">M95*F95</f>
        <v>13461</v>
      </c>
    </row>
    <row r="96" customFormat="false" ht="15" hidden="false" customHeight="false" outlineLevel="0" collapsed="false">
      <c r="A96" s="10" t="s">
        <v>253</v>
      </c>
      <c r="B96" s="21" t="n">
        <v>45772</v>
      </c>
      <c r="C96" s="10" t="s">
        <v>157</v>
      </c>
      <c r="D96" s="10" t="s">
        <v>71</v>
      </c>
      <c r="E96" s="10" t="n">
        <v>8703</v>
      </c>
      <c r="F96" s="22" t="n">
        <v>17</v>
      </c>
      <c r="G96" s="22" t="n">
        <v>26565</v>
      </c>
      <c r="H96" s="10" t="s">
        <v>182</v>
      </c>
      <c r="I96" s="10" t="str">
        <f aca="false">IFERROR(VLOOKUP(E96,Parameters!$G$6:$H$15,2,FALSE()),"")</f>
        <v>Passenger cars</v>
      </c>
      <c r="J96" s="10" t="str">
        <f aca="false">IFERROR(INDEX(Name_Map!$B$2:$B$102,MATCH(D96,Name_Map!$A$2:$A$102,0)),D96)</f>
        <v>Bogota Car Import S.A.S.</v>
      </c>
      <c r="K96" s="22" t="n">
        <f aca="false">IF(F96&gt;0,G96/F96,0)</f>
        <v>1562.64705882353</v>
      </c>
      <c r="L96" s="10" t="str">
        <f aca="false">IF(AND(COUNTIFS($A$2:$A$307,A96,$E$2:$E$307,E96)&gt;1,COUNTIFS($A$2:$A$307,A96,$E$2:$E$307,E96,$G$2:$G$307,G96)=COUNTIFS($A$2:$A$307,A96,$E$2:$E$307,E96)),"CHECK","OK")</f>
        <v>OK</v>
      </c>
      <c r="M96" s="22" t="n">
        <f aca="false">IF(L96="CHECK",G96/SUMIFS($F$2:$F$307,$A$2:$A$307,A96,$E$2:$E$307,E96),K96)</f>
        <v>1562.64705882353</v>
      </c>
      <c r="N96" s="10" t="str">
        <f aca="false">IF(COUNTIF(Parameters!$E$6:$E$13,H96)&gt;0,"Yes","No")</f>
        <v>No</v>
      </c>
      <c r="O96" s="10" t="str">
        <f aca="false">IF(M96&lt;=Parameters!$B$3,IF(COUNTIF(Parameters!$A$6:$A$7,E96)&gt;0,"Vehicles","Out of scope"),IF(COUNTIF(Parameters!$C$6:$C$14,E96)&gt;0,"H&amp;H","Out of scope"))</f>
        <v>Vehicles</v>
      </c>
      <c r="P96" s="22" t="n">
        <f aca="false">M96*F96</f>
        <v>26565</v>
      </c>
    </row>
    <row r="97" customFormat="false" ht="15" hidden="false" customHeight="false" outlineLevel="0" collapsed="false">
      <c r="A97" s="10" t="s">
        <v>254</v>
      </c>
      <c r="B97" s="21" t="n">
        <v>45773</v>
      </c>
      <c r="C97" s="10" t="s">
        <v>156</v>
      </c>
      <c r="D97" s="10" t="s">
        <v>56</v>
      </c>
      <c r="E97" s="10" t="n">
        <v>8703</v>
      </c>
      <c r="F97" s="22" t="n">
        <v>39</v>
      </c>
      <c r="G97" s="22" t="n">
        <v>62529</v>
      </c>
      <c r="H97" s="10" t="s">
        <v>27</v>
      </c>
      <c r="I97" s="10" t="str">
        <f aca="false">IFERROR(VLOOKUP(E97,Parameters!$G$6:$H$15,2,FALSE()),"")</f>
        <v>Passenger cars</v>
      </c>
      <c r="J97" s="10" t="str">
        <f aca="false">IFERROR(INDEX(Name_Map!$B$2:$B$102,MATCH(D97,Name_Map!$A$2:$A$102,0)),D97)</f>
        <v>Austral Truck Center SpA</v>
      </c>
      <c r="K97" s="22" t="n">
        <f aca="false">IF(F97&gt;0,G97/F97,0)</f>
        <v>1603.30769230769</v>
      </c>
      <c r="L97" s="10" t="str">
        <f aca="false">IF(AND(COUNTIFS($A$2:$A$307,A97,$E$2:$E$307,E97)&gt;1,COUNTIFS($A$2:$A$307,A97,$E$2:$E$307,E97,$G$2:$G$307,G97)=COUNTIFS($A$2:$A$307,A97,$E$2:$E$307,E97)),"CHECK","OK")</f>
        <v>OK</v>
      </c>
      <c r="M97" s="22" t="n">
        <f aca="false">IF(L97="CHECK",G97/SUMIFS($F$2:$F$307,$A$2:$A$307,A97,$E$2:$E$307,E97),K97)</f>
        <v>1603.30769230769</v>
      </c>
      <c r="N97" s="10" t="str">
        <f aca="false">IF(COUNTIF(Parameters!$E$6:$E$13,H97)&gt;0,"Yes","No")</f>
        <v>Yes</v>
      </c>
      <c r="O97" s="10" t="str">
        <f aca="false">IF(M97&lt;=Parameters!$B$3,IF(COUNTIF(Parameters!$A$6:$A$7,E97)&gt;0,"Vehicles","Out of scope"),IF(COUNTIF(Parameters!$C$6:$C$14,E97)&gt;0,"H&amp;H","Out of scope"))</f>
        <v>Vehicles</v>
      </c>
      <c r="P97" s="22" t="n">
        <f aca="false">M97*F97</f>
        <v>62529</v>
      </c>
    </row>
    <row r="98" customFormat="false" ht="15" hidden="false" customHeight="false" outlineLevel="0" collapsed="false">
      <c r="A98" s="10" t="s">
        <v>254</v>
      </c>
      <c r="B98" s="21" t="n">
        <v>45773</v>
      </c>
      <c r="C98" s="10" t="s">
        <v>156</v>
      </c>
      <c r="D98" s="10" t="s">
        <v>56</v>
      </c>
      <c r="E98" s="10" t="n">
        <v>8704</v>
      </c>
      <c r="F98" s="22" t="n">
        <v>5</v>
      </c>
      <c r="G98" s="22" t="n">
        <v>20379</v>
      </c>
      <c r="H98" s="10" t="s">
        <v>27</v>
      </c>
      <c r="I98" s="10" t="str">
        <f aca="false">IFERROR(VLOOKUP(E98,Parameters!$G$6:$H$15,2,FALSE()),"")</f>
        <v>Goods vehicles (trucks)</v>
      </c>
      <c r="J98" s="10" t="str">
        <f aca="false">IFERROR(INDEX(Name_Map!$B$2:$B$102,MATCH(D98,Name_Map!$A$2:$A$102,0)),D98)</f>
        <v>Austral Truck Center SpA</v>
      </c>
      <c r="K98" s="22" t="n">
        <f aca="false">IF(F98&gt;0,G98/F98,0)</f>
        <v>4075.8</v>
      </c>
      <c r="L98" s="10" t="str">
        <f aca="false">IF(AND(COUNTIFS($A$2:$A$307,A98,$E$2:$E$307,E98)&gt;1,COUNTIFS($A$2:$A$307,A98,$E$2:$E$307,E98,$G$2:$G$307,G98)=COUNTIFS($A$2:$A$307,A98,$E$2:$E$307,E98)),"CHECK","OK")</f>
        <v>OK</v>
      </c>
      <c r="M98" s="22" t="n">
        <f aca="false">IF(L98="CHECK",G98/SUMIFS($F$2:$F$307,$A$2:$A$307,A98,$E$2:$E$307,E98),K98)</f>
        <v>4075.8</v>
      </c>
      <c r="N98" s="10" t="str">
        <f aca="false">IF(COUNTIF(Parameters!$E$6:$E$13,H98)&gt;0,"Yes","No")</f>
        <v>Yes</v>
      </c>
      <c r="O98" s="10" t="str">
        <f aca="false">IF(M98&lt;=Parameters!$B$3,IF(COUNTIF(Parameters!$A$6:$A$7,E98)&gt;0,"Vehicles","Out of scope"),IF(COUNTIF(Parameters!$C$6:$C$14,E98)&gt;0,"H&amp;H","Out of scope"))</f>
        <v>Vehicles</v>
      </c>
      <c r="P98" s="22" t="n">
        <f aca="false">M98*F98</f>
        <v>20379</v>
      </c>
    </row>
    <row r="99" customFormat="false" ht="15" hidden="false" customHeight="false" outlineLevel="0" collapsed="false">
      <c r="A99" s="10" t="s">
        <v>255</v>
      </c>
      <c r="B99" s="21" t="n">
        <v>45773</v>
      </c>
      <c r="C99" s="10" t="s">
        <v>158</v>
      </c>
      <c r="D99" s="10" t="s">
        <v>123</v>
      </c>
      <c r="E99" s="10" t="n">
        <v>8704</v>
      </c>
      <c r="F99" s="22" t="n">
        <v>11</v>
      </c>
      <c r="G99" s="22" t="n">
        <v>69139</v>
      </c>
      <c r="H99" s="10" t="s">
        <v>193</v>
      </c>
      <c r="I99" s="10" t="str">
        <f aca="false">IFERROR(VLOOKUP(E99,Parameters!$G$6:$H$15,2,FALSE()),"")</f>
        <v>Goods vehicles (trucks)</v>
      </c>
      <c r="J99" s="10" t="str">
        <f aca="false">IFERROR(INDEX(Name_Map!$B$2:$B$102,MATCH(D99,Name_Map!$A$2:$A$102,0)),D99)</f>
        <v>Lima Car Import S.A.C.</v>
      </c>
      <c r="K99" s="22" t="n">
        <f aca="false">IF(F99&gt;0,G99/F99,0)</f>
        <v>6285.36363636364</v>
      </c>
      <c r="L99" s="10" t="str">
        <f aca="false">IF(AND(COUNTIFS($A$2:$A$307,A99,$E$2:$E$307,E99)&gt;1,COUNTIFS($A$2:$A$307,A99,$E$2:$E$307,E99,$G$2:$G$307,G99)=COUNTIFS($A$2:$A$307,A99,$E$2:$E$307,E99)),"CHECK","OK")</f>
        <v>OK</v>
      </c>
      <c r="M99" s="22" t="n">
        <f aca="false">IF(L99="CHECK",G99/SUMIFS($F$2:$F$307,$A$2:$A$307,A99,$E$2:$E$307,E99),K99)</f>
        <v>6285.36363636364</v>
      </c>
      <c r="N99" s="10" t="str">
        <f aca="false">IF(COUNTIF(Parameters!$E$6:$E$13,H99)&gt;0,"Yes","No")</f>
        <v>No</v>
      </c>
      <c r="O99" s="10" t="str">
        <f aca="false">IF(M99&lt;=Parameters!$B$3,IF(COUNTIF(Parameters!$A$6:$A$7,E99)&gt;0,"Vehicles","Out of scope"),IF(COUNTIF(Parameters!$C$6:$C$14,E99)&gt;0,"H&amp;H","Out of scope"))</f>
        <v>Vehicles</v>
      </c>
      <c r="P99" s="22" t="n">
        <f aca="false">M99*F99</f>
        <v>69139</v>
      </c>
    </row>
    <row r="100" customFormat="false" ht="15" hidden="false" customHeight="false" outlineLevel="0" collapsed="false">
      <c r="A100" s="10" t="s">
        <v>256</v>
      </c>
      <c r="B100" s="21" t="n">
        <v>45774</v>
      </c>
      <c r="C100" s="10" t="s">
        <v>158</v>
      </c>
      <c r="D100" s="10" t="s">
        <v>111</v>
      </c>
      <c r="E100" s="10" t="n">
        <v>8704</v>
      </c>
      <c r="F100" s="22" t="n">
        <v>8</v>
      </c>
      <c r="G100" s="22" t="n">
        <v>46710</v>
      </c>
      <c r="H100" s="10" t="s">
        <v>214</v>
      </c>
      <c r="I100" s="10" t="str">
        <f aca="false">IFERROR(VLOOKUP(E100,Parameters!$G$6:$H$15,2,FALSE()),"")</f>
        <v>Goods vehicles (trucks)</v>
      </c>
      <c r="J100" s="10" t="str">
        <f aca="false">IFERROR(INDEX(Name_Map!$B$2:$B$102,MATCH(D100,Name_Map!$A$2:$A$102,0)),D100)</f>
        <v>Inca Automotriz S.A.C.</v>
      </c>
      <c r="K100" s="22" t="n">
        <f aca="false">IF(F100&gt;0,G100/F100,0)</f>
        <v>5838.75</v>
      </c>
      <c r="L100" s="10" t="str">
        <f aca="false">IF(AND(COUNTIFS($A$2:$A$307,A100,$E$2:$E$307,E100)&gt;1,COUNTIFS($A$2:$A$307,A100,$E$2:$E$307,E100,$G$2:$G$307,G100)=COUNTIFS($A$2:$A$307,A100,$E$2:$E$307,E100)),"CHECK","OK")</f>
        <v>OK</v>
      </c>
      <c r="M100" s="22" t="n">
        <f aca="false">IF(L100="CHECK",G100/SUMIFS($F$2:$F$307,$A$2:$A$307,A100,$E$2:$E$307,E100),K100)</f>
        <v>5838.75</v>
      </c>
      <c r="N100" s="10" t="str">
        <f aca="false">IF(COUNTIF(Parameters!$E$6:$E$13,H100)&gt;0,"Yes","No")</f>
        <v>No</v>
      </c>
      <c r="O100" s="10" t="str">
        <f aca="false">IF(M100&lt;=Parameters!$B$3,IF(COUNTIF(Parameters!$A$6:$A$7,E100)&gt;0,"Vehicles","Out of scope"),IF(COUNTIF(Parameters!$C$6:$C$14,E100)&gt;0,"H&amp;H","Out of scope"))</f>
        <v>Vehicles</v>
      </c>
      <c r="P100" s="22" t="n">
        <f aca="false">M100*F100</f>
        <v>46710</v>
      </c>
    </row>
    <row r="101" customFormat="false" ht="15" hidden="false" customHeight="false" outlineLevel="0" collapsed="false">
      <c r="A101" s="10" t="s">
        <v>256</v>
      </c>
      <c r="B101" s="21" t="n">
        <v>45774</v>
      </c>
      <c r="C101" s="10" t="s">
        <v>158</v>
      </c>
      <c r="D101" s="10" t="s">
        <v>114</v>
      </c>
      <c r="E101" s="10" t="n">
        <v>8703</v>
      </c>
      <c r="F101" s="22" t="n">
        <v>4</v>
      </c>
      <c r="G101" s="22" t="n">
        <v>7293</v>
      </c>
      <c r="H101" s="10" t="s">
        <v>214</v>
      </c>
      <c r="I101" s="10" t="str">
        <f aca="false">IFERROR(VLOOKUP(E101,Parameters!$G$6:$H$15,2,FALSE()),"")</f>
        <v>Passenger cars</v>
      </c>
      <c r="J101" s="10" t="str">
        <f aca="false">IFERROR(INDEX(Name_Map!$B$2:$B$102,MATCH(D101,Name_Map!$A$2:$A$102,0)),D101)</f>
        <v>Inca Automotriz S.A.C.</v>
      </c>
      <c r="K101" s="22" t="n">
        <f aca="false">IF(F101&gt;0,G101/F101,0)</f>
        <v>1823.25</v>
      </c>
      <c r="L101" s="10" t="str">
        <f aca="false">IF(AND(COUNTIFS($A$2:$A$307,A101,$E$2:$E$307,E101)&gt;1,COUNTIFS($A$2:$A$307,A101,$E$2:$E$307,E101,$G$2:$G$307,G101)=COUNTIFS($A$2:$A$307,A101,$E$2:$E$307,E101)),"CHECK","OK")</f>
        <v>OK</v>
      </c>
      <c r="M101" s="22" t="n">
        <f aca="false">IF(L101="CHECK",G101/SUMIFS($F$2:$F$307,$A$2:$A$307,A101,$E$2:$E$307,E101),K101)</f>
        <v>1823.25</v>
      </c>
      <c r="N101" s="10" t="str">
        <f aca="false">IF(COUNTIF(Parameters!$E$6:$E$13,H101)&gt;0,"Yes","No")</f>
        <v>No</v>
      </c>
      <c r="O101" s="10" t="str">
        <f aca="false">IF(M101&lt;=Parameters!$B$3,IF(COUNTIF(Parameters!$A$6:$A$7,E101)&gt;0,"Vehicles","Out of scope"),IF(COUNTIF(Parameters!$C$6:$C$14,E101)&gt;0,"H&amp;H","Out of scope"))</f>
        <v>Vehicles</v>
      </c>
      <c r="P101" s="22" t="n">
        <f aca="false">M101*F101</f>
        <v>7293</v>
      </c>
    </row>
    <row r="102" customFormat="false" ht="15" hidden="false" customHeight="false" outlineLevel="0" collapsed="false">
      <c r="A102" s="10" t="s">
        <v>257</v>
      </c>
      <c r="B102" s="21" t="n">
        <v>45777</v>
      </c>
      <c r="C102" s="10" t="s">
        <v>158</v>
      </c>
      <c r="D102" s="10" t="s">
        <v>48</v>
      </c>
      <c r="E102" s="10" t="n">
        <v>8426</v>
      </c>
      <c r="F102" s="22" t="n">
        <v>2</v>
      </c>
      <c r="G102" s="22" t="n">
        <v>101828</v>
      </c>
      <c r="H102" s="10" t="s">
        <v>31</v>
      </c>
      <c r="I102" s="10" t="str">
        <f aca="false">IFERROR(VLOOKUP(E102,Parameters!$G$6:$H$15,2,FALSE()),"")</f>
        <v>Cranes</v>
      </c>
      <c r="J102" s="10" t="str">
        <f aca="false">IFERROR(INDEX(Name_Map!$B$2:$B$102,MATCH(D102,Name_Map!$A$2:$A$102,0)),D102)</f>
        <v>Altiplano Trucks S.A.C.</v>
      </c>
      <c r="K102" s="22" t="n">
        <f aca="false">IF(F102&gt;0,G102/F102,0)</f>
        <v>50914</v>
      </c>
      <c r="L102" s="10" t="str">
        <f aca="false">IF(AND(COUNTIFS($A$2:$A$307,A102,$E$2:$E$307,E102)&gt;1,COUNTIFS($A$2:$A$307,A102,$E$2:$E$307,E102,$G$2:$G$307,G102)=COUNTIFS($A$2:$A$307,A102,$E$2:$E$307,E102)),"CHECK","OK")</f>
        <v>OK</v>
      </c>
      <c r="M102" s="22" t="n">
        <f aca="false">IF(L102="CHECK",G102/SUMIFS($F$2:$F$307,$A$2:$A$307,A102,$E$2:$E$307,E102),K102)</f>
        <v>50914</v>
      </c>
      <c r="N102" s="10" t="str">
        <f aca="false">IF(COUNTIF(Parameters!$E$6:$E$13,H102)&gt;0,"Yes","No")</f>
        <v>Yes</v>
      </c>
      <c r="O102" s="10" t="str">
        <f aca="false">IF(M102&lt;=Parameters!$B$3,IF(COUNTIF(Parameters!$A$6:$A$7,E102)&gt;0,"Vehicles","Out of scope"),IF(COUNTIF(Parameters!$C$6:$C$14,E102)&gt;0,"H&amp;H","Out of scope"))</f>
        <v>H&amp;H</v>
      </c>
      <c r="P102" s="22" t="n">
        <f aca="false">M102*F102</f>
        <v>101828</v>
      </c>
    </row>
    <row r="103" customFormat="false" ht="15" hidden="false" customHeight="false" outlineLevel="0" collapsed="false">
      <c r="A103" s="10" t="s">
        <v>258</v>
      </c>
      <c r="B103" s="21" t="n">
        <v>45785</v>
      </c>
      <c r="C103" s="10" t="s">
        <v>157</v>
      </c>
      <c r="D103" s="10" t="s">
        <v>146</v>
      </c>
      <c r="E103" s="10" t="n">
        <v>8433</v>
      </c>
      <c r="F103" s="22" t="n">
        <v>2</v>
      </c>
      <c r="G103" s="22" t="n">
        <v>80912</v>
      </c>
      <c r="H103" s="10" t="s">
        <v>39</v>
      </c>
      <c r="I103" s="10" t="str">
        <f aca="false">IFERROR(VLOOKUP(E103,Parameters!$G$6:$H$15,2,FALSE()),"")</f>
        <v>Harvesting machinery</v>
      </c>
      <c r="J103" s="10" t="str">
        <f aca="false">IFERROR(INDEX(Name_Map!$B$2:$B$102,MATCH(D103,Name_Map!$A$2:$A$102,0)),D103)</f>
        <v>Transcargo Pesados S.A.S.</v>
      </c>
      <c r="K103" s="22" t="n">
        <f aca="false">IF(F103&gt;0,G103/F103,0)</f>
        <v>40456</v>
      </c>
      <c r="L103" s="10" t="str">
        <f aca="false">IF(AND(COUNTIFS($A$2:$A$307,A103,$E$2:$E$307,E103)&gt;1,COUNTIFS($A$2:$A$307,A103,$E$2:$E$307,E103,$G$2:$G$307,G103)=COUNTIFS($A$2:$A$307,A103,$E$2:$E$307,E103)),"CHECK","OK")</f>
        <v>OK</v>
      </c>
      <c r="M103" s="22" t="n">
        <f aca="false">IF(L103="CHECK",G103/SUMIFS($F$2:$F$307,$A$2:$A$307,A103,$E$2:$E$307,E103),K103)</f>
        <v>40456</v>
      </c>
      <c r="N103" s="10" t="str">
        <f aca="false">IF(COUNTIF(Parameters!$E$6:$E$13,H103)&gt;0,"Yes","No")</f>
        <v>Yes</v>
      </c>
      <c r="O103" s="10" t="str">
        <f aca="false">IF(M103&lt;=Parameters!$B$3,IF(COUNTIF(Parameters!$A$6:$A$7,E103)&gt;0,"Vehicles","Out of scope"),IF(COUNTIF(Parameters!$C$6:$C$14,E103)&gt;0,"H&amp;H","Out of scope"))</f>
        <v>H&amp;H</v>
      </c>
      <c r="P103" s="22" t="n">
        <f aca="false">M103*F103</f>
        <v>80912</v>
      </c>
    </row>
    <row r="104" customFormat="false" ht="15" hidden="false" customHeight="false" outlineLevel="0" collapsed="false">
      <c r="A104" s="10" t="s">
        <v>258</v>
      </c>
      <c r="B104" s="21" t="n">
        <v>45785</v>
      </c>
      <c r="C104" s="10" t="s">
        <v>157</v>
      </c>
      <c r="D104" s="10" t="s">
        <v>146</v>
      </c>
      <c r="E104" s="10" t="n">
        <v>8426</v>
      </c>
      <c r="F104" s="22" t="n">
        <v>4</v>
      </c>
      <c r="G104" s="22" t="n">
        <v>224808</v>
      </c>
      <c r="H104" s="10" t="s">
        <v>39</v>
      </c>
      <c r="I104" s="10" t="str">
        <f aca="false">IFERROR(VLOOKUP(E104,Parameters!$G$6:$H$15,2,FALSE()),"")</f>
        <v>Cranes</v>
      </c>
      <c r="J104" s="10" t="str">
        <f aca="false">IFERROR(INDEX(Name_Map!$B$2:$B$102,MATCH(D104,Name_Map!$A$2:$A$102,0)),D104)</f>
        <v>Transcargo Pesados S.A.S.</v>
      </c>
      <c r="K104" s="22" t="n">
        <f aca="false">IF(F104&gt;0,G104/F104,0)</f>
        <v>56202</v>
      </c>
      <c r="L104" s="10" t="str">
        <f aca="false">IF(AND(COUNTIFS($A$2:$A$307,A104,$E$2:$E$307,E104)&gt;1,COUNTIFS($A$2:$A$307,A104,$E$2:$E$307,E104,$G$2:$G$307,G104)=COUNTIFS($A$2:$A$307,A104,$E$2:$E$307,E104)),"CHECK","OK")</f>
        <v>OK</v>
      </c>
      <c r="M104" s="22" t="n">
        <f aca="false">IF(L104="CHECK",G104/SUMIFS($F$2:$F$307,$A$2:$A$307,A104,$E$2:$E$307,E104),K104)</f>
        <v>56202</v>
      </c>
      <c r="N104" s="10" t="str">
        <f aca="false">IF(COUNTIF(Parameters!$E$6:$E$13,H104)&gt;0,"Yes","No")</f>
        <v>Yes</v>
      </c>
      <c r="O104" s="10" t="str">
        <f aca="false">IF(M104&lt;=Parameters!$B$3,IF(COUNTIF(Parameters!$A$6:$A$7,E104)&gt;0,"Vehicles","Out of scope"),IF(COUNTIF(Parameters!$C$6:$C$14,E104)&gt;0,"H&amp;H","Out of scope"))</f>
        <v>H&amp;H</v>
      </c>
      <c r="P104" s="22" t="n">
        <f aca="false">M104*F104</f>
        <v>224808</v>
      </c>
    </row>
    <row r="105" customFormat="false" ht="15" hidden="false" customHeight="false" outlineLevel="0" collapsed="false">
      <c r="A105" s="10" t="s">
        <v>259</v>
      </c>
      <c r="B105" s="21" t="n">
        <v>45785</v>
      </c>
      <c r="C105" s="10" t="s">
        <v>160</v>
      </c>
      <c r="D105" s="10" t="s">
        <v>93</v>
      </c>
      <c r="E105" s="10" t="n">
        <v>8427</v>
      </c>
      <c r="F105" s="22" t="n">
        <v>2</v>
      </c>
      <c r="G105" s="22" t="n">
        <v>96367</v>
      </c>
      <c r="H105" s="10" t="s">
        <v>223</v>
      </c>
      <c r="I105" s="10" t="str">
        <f aca="false">IFERROR(VLOOKUP(E105,Parameters!$G$6:$H$15,2,FALSE()),"")</f>
        <v>Forklift trucks</v>
      </c>
      <c r="J105" s="10" t="str">
        <f aca="false">IFERROR(INDEX(Name_Map!$B$2:$B$102,MATCH(D105,Name_Map!$A$2:$A$102,0)),D105)</f>
        <v>Cibao Equipos S.R.L.</v>
      </c>
      <c r="K105" s="22" t="n">
        <f aca="false">IF(F105&gt;0,G105/F105,0)</f>
        <v>48183.5</v>
      </c>
      <c r="L105" s="10" t="str">
        <f aca="false">IF(AND(COUNTIFS($A$2:$A$307,A105,$E$2:$E$307,E105)&gt;1,COUNTIFS($A$2:$A$307,A105,$E$2:$E$307,E105,$G$2:$G$307,G105)=COUNTIFS($A$2:$A$307,A105,$E$2:$E$307,E105)),"CHECK","OK")</f>
        <v>OK</v>
      </c>
      <c r="M105" s="22" t="n">
        <f aca="false">IF(L105="CHECK",G105/SUMIFS($F$2:$F$307,$A$2:$A$307,A105,$E$2:$E$307,E105),K105)</f>
        <v>48183.5</v>
      </c>
      <c r="N105" s="10" t="str">
        <f aca="false">IF(COUNTIF(Parameters!$E$6:$E$13,H105)&gt;0,"Yes","No")</f>
        <v>No</v>
      </c>
      <c r="O105" s="10" t="str">
        <f aca="false">IF(M105&lt;=Parameters!$B$3,IF(COUNTIF(Parameters!$A$6:$A$7,E105)&gt;0,"Vehicles","Out of scope"),IF(COUNTIF(Parameters!$C$6:$C$14,E105)&gt;0,"H&amp;H","Out of scope"))</f>
        <v>H&amp;H</v>
      </c>
      <c r="P105" s="22" t="n">
        <f aca="false">M105*F105</f>
        <v>96367</v>
      </c>
    </row>
    <row r="106" customFormat="false" ht="15" hidden="false" customHeight="false" outlineLevel="0" collapsed="false">
      <c r="A106" s="10" t="s">
        <v>259</v>
      </c>
      <c r="B106" s="21" t="n">
        <v>45785</v>
      </c>
      <c r="C106" s="10" t="s">
        <v>160</v>
      </c>
      <c r="D106" s="10" t="s">
        <v>93</v>
      </c>
      <c r="E106" s="10" t="n">
        <v>8429</v>
      </c>
      <c r="F106" s="22" t="n">
        <v>3</v>
      </c>
      <c r="G106" s="22" t="n">
        <v>64267</v>
      </c>
      <c r="H106" s="10" t="s">
        <v>223</v>
      </c>
      <c r="I106" s="10" t="str">
        <f aca="false">IFERROR(VLOOKUP(E106,Parameters!$G$6:$H$15,2,FALSE()),"")</f>
        <v>Bulldozers / excavators / loaders</v>
      </c>
      <c r="J106" s="10" t="str">
        <f aca="false">IFERROR(INDEX(Name_Map!$B$2:$B$102,MATCH(D106,Name_Map!$A$2:$A$102,0)),D106)</f>
        <v>Cibao Equipos S.R.L.</v>
      </c>
      <c r="K106" s="22" t="n">
        <f aca="false">IF(F106&gt;0,G106/F106,0)</f>
        <v>21422.3333333333</v>
      </c>
      <c r="L106" s="10" t="str">
        <f aca="false">IF(AND(COUNTIFS($A$2:$A$307,A106,$E$2:$E$307,E106)&gt;1,COUNTIFS($A$2:$A$307,A106,$E$2:$E$307,E106,$G$2:$G$307,G106)=COUNTIFS($A$2:$A$307,A106,$E$2:$E$307,E106)),"CHECK","OK")</f>
        <v>OK</v>
      </c>
      <c r="M106" s="22" t="n">
        <f aca="false">IF(L106="CHECK",G106/SUMIFS($F$2:$F$307,$A$2:$A$307,A106,$E$2:$E$307,E106),K106)</f>
        <v>21422.3333333333</v>
      </c>
      <c r="N106" s="10" t="str">
        <f aca="false">IF(COUNTIF(Parameters!$E$6:$E$13,H106)&gt;0,"Yes","No")</f>
        <v>No</v>
      </c>
      <c r="O106" s="10" t="str">
        <f aca="false">IF(M106&lt;=Parameters!$B$3,IF(COUNTIF(Parameters!$A$6:$A$7,E106)&gt;0,"Vehicles","Out of scope"),IF(COUNTIF(Parameters!$C$6:$C$14,E106)&gt;0,"H&amp;H","Out of scope"))</f>
        <v>H&amp;H</v>
      </c>
      <c r="P106" s="22" t="n">
        <f aca="false">M106*F106</f>
        <v>64267</v>
      </c>
    </row>
    <row r="107" customFormat="false" ht="15" hidden="false" customHeight="false" outlineLevel="0" collapsed="false">
      <c r="A107" s="10" t="s">
        <v>260</v>
      </c>
      <c r="B107" s="21" t="n">
        <v>45792</v>
      </c>
      <c r="C107" s="10" t="s">
        <v>156</v>
      </c>
      <c r="D107" s="10" t="s">
        <v>49</v>
      </c>
      <c r="E107" s="10" t="n">
        <v>8703</v>
      </c>
      <c r="F107" s="22" t="n">
        <v>21</v>
      </c>
      <c r="G107" s="22" t="n">
        <v>51643</v>
      </c>
      <c r="H107" s="10" t="s">
        <v>182</v>
      </c>
      <c r="I107" s="10" t="str">
        <f aca="false">IFERROR(VLOOKUP(E107,Parameters!$G$6:$H$15,2,FALSE()),"")</f>
        <v>Passenger cars</v>
      </c>
      <c r="J107" s="10" t="str">
        <f aca="false">IFERROR(INDEX(Name_Map!$B$2:$B$102,MATCH(D107,Name_Map!$A$2:$A$102,0)),D107)</f>
        <v>Andes Motor Group S.A.</v>
      </c>
      <c r="K107" s="22" t="n">
        <f aca="false">IF(F107&gt;0,G107/F107,0)</f>
        <v>2459.19047619048</v>
      </c>
      <c r="L107" s="10" t="str">
        <f aca="false">IF(AND(COUNTIFS($A$2:$A$307,A107,$E$2:$E$307,E107)&gt;1,COUNTIFS($A$2:$A$307,A107,$E$2:$E$307,E107,$G$2:$G$307,G107)=COUNTIFS($A$2:$A$307,A107,$E$2:$E$307,E107)),"CHECK","OK")</f>
        <v>OK</v>
      </c>
      <c r="M107" s="22" t="n">
        <f aca="false">IF(L107="CHECK",G107/SUMIFS($F$2:$F$307,$A$2:$A$307,A107,$E$2:$E$307,E107),K107)</f>
        <v>2459.19047619048</v>
      </c>
      <c r="N107" s="10" t="str">
        <f aca="false">IF(COUNTIF(Parameters!$E$6:$E$13,H107)&gt;0,"Yes","No")</f>
        <v>No</v>
      </c>
      <c r="O107" s="10" t="str">
        <f aca="false">IF(M107&lt;=Parameters!$B$3,IF(COUNTIF(Parameters!$A$6:$A$7,E107)&gt;0,"Vehicles","Out of scope"),IF(COUNTIF(Parameters!$C$6:$C$14,E107)&gt;0,"H&amp;H","Out of scope"))</f>
        <v>Vehicles</v>
      </c>
      <c r="P107" s="22" t="n">
        <f aca="false">M107*F107</f>
        <v>51643</v>
      </c>
    </row>
    <row r="108" customFormat="false" ht="15" hidden="false" customHeight="false" outlineLevel="0" collapsed="false">
      <c r="A108" s="10" t="s">
        <v>260</v>
      </c>
      <c r="B108" s="21" t="n">
        <v>45792</v>
      </c>
      <c r="C108" s="10" t="s">
        <v>156</v>
      </c>
      <c r="D108" s="10" t="s">
        <v>49</v>
      </c>
      <c r="E108" s="10" t="n">
        <v>8703</v>
      </c>
      <c r="F108" s="22" t="n">
        <v>25</v>
      </c>
      <c r="G108" s="22" t="n">
        <v>37067</v>
      </c>
      <c r="H108" s="10" t="s">
        <v>182</v>
      </c>
      <c r="I108" s="10" t="str">
        <f aca="false">IFERROR(VLOOKUP(E108,Parameters!$G$6:$H$15,2,FALSE()),"")</f>
        <v>Passenger cars</v>
      </c>
      <c r="J108" s="10" t="str">
        <f aca="false">IFERROR(INDEX(Name_Map!$B$2:$B$102,MATCH(D108,Name_Map!$A$2:$A$102,0)),D108)</f>
        <v>Andes Motor Group S.A.</v>
      </c>
      <c r="K108" s="22" t="n">
        <f aca="false">IF(F108&gt;0,G108/F108,0)</f>
        <v>1482.68</v>
      </c>
      <c r="L108" s="10" t="str">
        <f aca="false">IF(AND(COUNTIFS($A$2:$A$307,A108,$E$2:$E$307,E108)&gt;1,COUNTIFS($A$2:$A$307,A108,$E$2:$E$307,E108,$G$2:$G$307,G108)=COUNTIFS($A$2:$A$307,A108,$E$2:$E$307,E108)),"CHECK","OK")</f>
        <v>OK</v>
      </c>
      <c r="M108" s="22" t="n">
        <f aca="false">IF(L108="CHECK",G108/SUMIFS($F$2:$F$307,$A$2:$A$307,A108,$E$2:$E$307,E108),K108)</f>
        <v>1482.68</v>
      </c>
      <c r="N108" s="10" t="str">
        <f aca="false">IF(COUNTIF(Parameters!$E$6:$E$13,H108)&gt;0,"Yes","No")</f>
        <v>No</v>
      </c>
      <c r="O108" s="10" t="str">
        <f aca="false">IF(M108&lt;=Parameters!$B$3,IF(COUNTIF(Parameters!$A$6:$A$7,E108)&gt;0,"Vehicles","Out of scope"),IF(COUNTIF(Parameters!$C$6:$C$14,E108)&gt;0,"H&amp;H","Out of scope"))</f>
        <v>Vehicles</v>
      </c>
      <c r="P108" s="22" t="n">
        <f aca="false">M108*F108</f>
        <v>37067</v>
      </c>
    </row>
    <row r="109" customFormat="false" ht="15" hidden="false" customHeight="false" outlineLevel="0" collapsed="false">
      <c r="A109" s="10" t="s">
        <v>261</v>
      </c>
      <c r="B109" s="21" t="n">
        <v>45794</v>
      </c>
      <c r="C109" s="10" t="s">
        <v>161</v>
      </c>
      <c r="D109" s="10" t="s">
        <v>113</v>
      </c>
      <c r="E109" s="10" t="n">
        <v>8704</v>
      </c>
      <c r="F109" s="22" t="n">
        <v>25</v>
      </c>
      <c r="G109" s="22" t="n">
        <v>196960</v>
      </c>
      <c r="H109" s="10" t="s">
        <v>180</v>
      </c>
      <c r="I109" s="10" t="str">
        <f aca="false">IFERROR(VLOOKUP(E109,Parameters!$G$6:$H$15,2,FALSE()),"")</f>
        <v>Goods vehicles (trucks)</v>
      </c>
      <c r="J109" s="10" t="str">
        <f aca="false">IFERROR(INDEX(Name_Map!$B$2:$B$102,MATCH(D109,Name_Map!$A$2:$A$102,0)),D109)</f>
        <v>Istmo Motors S.A.</v>
      </c>
      <c r="K109" s="22" t="n">
        <f aca="false">IF(F109&gt;0,G109/F109,0)</f>
        <v>7878.4</v>
      </c>
      <c r="L109" s="10" t="str">
        <f aca="false">IF(AND(COUNTIFS($A$2:$A$307,A109,$E$2:$E$307,E109)&gt;1,COUNTIFS($A$2:$A$307,A109,$E$2:$E$307,E109,$G$2:$G$307,G109)=COUNTIFS($A$2:$A$307,A109,$E$2:$E$307,E109)),"CHECK","OK")</f>
        <v>OK</v>
      </c>
      <c r="M109" s="22" t="n">
        <f aca="false">IF(L109="CHECK",G109/SUMIFS($F$2:$F$307,$A$2:$A$307,A109,$E$2:$E$307,E109),K109)</f>
        <v>7878.4</v>
      </c>
      <c r="N109" s="10" t="str">
        <f aca="false">IF(COUNTIF(Parameters!$E$6:$E$13,H109)&gt;0,"Yes","No")</f>
        <v>No</v>
      </c>
      <c r="O109" s="10" t="str">
        <f aca="false">IF(M109&lt;=Parameters!$B$3,IF(COUNTIF(Parameters!$A$6:$A$7,E109)&gt;0,"Vehicles","Out of scope"),IF(COUNTIF(Parameters!$C$6:$C$14,E109)&gt;0,"H&amp;H","Out of scope"))</f>
        <v>Vehicles</v>
      </c>
      <c r="P109" s="22" t="n">
        <f aca="false">M109*F109</f>
        <v>196960</v>
      </c>
    </row>
    <row r="110" customFormat="false" ht="15" hidden="false" customHeight="false" outlineLevel="0" collapsed="false">
      <c r="A110" s="10" t="s">
        <v>262</v>
      </c>
      <c r="B110" s="21" t="n">
        <v>45795</v>
      </c>
      <c r="C110" s="10" t="s">
        <v>156</v>
      </c>
      <c r="D110" s="10" t="s">
        <v>50</v>
      </c>
      <c r="E110" s="10" t="n">
        <v>8703</v>
      </c>
      <c r="F110" s="22" t="n">
        <v>27</v>
      </c>
      <c r="G110" s="22" t="n">
        <v>66615</v>
      </c>
      <c r="H110" s="10" t="s">
        <v>37</v>
      </c>
      <c r="I110" s="10" t="str">
        <f aca="false">IFERROR(VLOOKUP(E110,Parameters!$G$6:$H$15,2,FALSE()),"")</f>
        <v>Passenger cars</v>
      </c>
      <c r="J110" s="10" t="str">
        <f aca="false">IFERROR(INDEX(Name_Map!$B$2:$B$102,MATCH(D110,Name_Map!$A$2:$A$102,0)),D110)</f>
        <v>Andes Motor Group S.A.</v>
      </c>
      <c r="K110" s="22" t="n">
        <f aca="false">IF(F110&gt;0,G110/F110,0)</f>
        <v>2467.22222222222</v>
      </c>
      <c r="L110" s="10" t="str">
        <f aca="false">IF(AND(COUNTIFS($A$2:$A$307,A110,$E$2:$E$307,E110)&gt;1,COUNTIFS($A$2:$A$307,A110,$E$2:$E$307,E110,$G$2:$G$307,G110)=COUNTIFS($A$2:$A$307,A110,$E$2:$E$307,E110)),"CHECK","OK")</f>
        <v>OK</v>
      </c>
      <c r="M110" s="22" t="n">
        <f aca="false">IF(L110="CHECK",G110/SUMIFS($F$2:$F$307,$A$2:$A$307,A110,$E$2:$E$307,E110),K110)</f>
        <v>2467.22222222222</v>
      </c>
      <c r="N110" s="10" t="str">
        <f aca="false">IF(COUNTIF(Parameters!$E$6:$E$13,H110)&gt;0,"Yes","No")</f>
        <v>Yes</v>
      </c>
      <c r="O110" s="10" t="str">
        <f aca="false">IF(M110&lt;=Parameters!$B$3,IF(COUNTIF(Parameters!$A$6:$A$7,E110)&gt;0,"Vehicles","Out of scope"),IF(COUNTIF(Parameters!$C$6:$C$14,E110)&gt;0,"H&amp;H","Out of scope"))</f>
        <v>Vehicles</v>
      </c>
      <c r="P110" s="22" t="n">
        <f aca="false">M110*F110</f>
        <v>66615</v>
      </c>
    </row>
    <row r="111" customFormat="false" ht="15" hidden="false" customHeight="false" outlineLevel="0" collapsed="false">
      <c r="A111" s="10" t="s">
        <v>262</v>
      </c>
      <c r="B111" s="21" t="n">
        <v>45795</v>
      </c>
      <c r="C111" s="10" t="s">
        <v>156</v>
      </c>
      <c r="D111" s="10" t="s">
        <v>49</v>
      </c>
      <c r="E111" s="10" t="n">
        <v>8703</v>
      </c>
      <c r="F111" s="22" t="n">
        <v>17</v>
      </c>
      <c r="G111" s="22" t="n">
        <v>39157</v>
      </c>
      <c r="H111" s="10" t="s">
        <v>37</v>
      </c>
      <c r="I111" s="10" t="str">
        <f aca="false">IFERROR(VLOOKUP(E111,Parameters!$G$6:$H$15,2,FALSE()),"")</f>
        <v>Passenger cars</v>
      </c>
      <c r="J111" s="10" t="str">
        <f aca="false">IFERROR(INDEX(Name_Map!$B$2:$B$102,MATCH(D111,Name_Map!$A$2:$A$102,0)),D111)</f>
        <v>Andes Motor Group S.A.</v>
      </c>
      <c r="K111" s="22" t="n">
        <f aca="false">IF(F111&gt;0,G111/F111,0)</f>
        <v>2303.35294117647</v>
      </c>
      <c r="L111" s="10" t="str">
        <f aca="false">IF(AND(COUNTIFS($A$2:$A$307,A111,$E$2:$E$307,E111)&gt;1,COUNTIFS($A$2:$A$307,A111,$E$2:$E$307,E111,$G$2:$G$307,G111)=COUNTIFS($A$2:$A$307,A111,$E$2:$E$307,E111)),"CHECK","OK")</f>
        <v>OK</v>
      </c>
      <c r="M111" s="22" t="n">
        <f aca="false">IF(L111="CHECK",G111/SUMIFS($F$2:$F$307,$A$2:$A$307,A111,$E$2:$E$307,E111),K111)</f>
        <v>2303.35294117647</v>
      </c>
      <c r="N111" s="10" t="str">
        <f aca="false">IF(COUNTIF(Parameters!$E$6:$E$13,H111)&gt;0,"Yes","No")</f>
        <v>Yes</v>
      </c>
      <c r="O111" s="10" t="str">
        <f aca="false">IF(M111&lt;=Parameters!$B$3,IF(COUNTIF(Parameters!$A$6:$A$7,E111)&gt;0,"Vehicles","Out of scope"),IF(COUNTIF(Parameters!$C$6:$C$14,E111)&gt;0,"H&amp;H","Out of scope"))</f>
        <v>Vehicles</v>
      </c>
      <c r="P111" s="22" t="n">
        <f aca="false">M111*F111</f>
        <v>39157</v>
      </c>
    </row>
    <row r="112" customFormat="false" ht="15" hidden="false" customHeight="false" outlineLevel="0" collapsed="false">
      <c r="A112" s="10" t="s">
        <v>263</v>
      </c>
      <c r="B112" s="21" t="n">
        <v>45795</v>
      </c>
      <c r="C112" s="10" t="s">
        <v>158</v>
      </c>
      <c r="D112" s="10" t="s">
        <v>119</v>
      </c>
      <c r="E112" s="10" t="n">
        <v>8704</v>
      </c>
      <c r="F112" s="22" t="n">
        <v>30</v>
      </c>
      <c r="G112" s="22" t="n">
        <v>134414</v>
      </c>
      <c r="H112" s="10" t="s">
        <v>31</v>
      </c>
      <c r="I112" s="10" t="str">
        <f aca="false">IFERROR(VLOOKUP(E112,Parameters!$G$6:$H$15,2,FALSE()),"")</f>
        <v>Goods vehicles (trucks)</v>
      </c>
      <c r="J112" s="10" t="str">
        <f aca="false">IFERROR(INDEX(Name_Map!$B$2:$B$102,MATCH(D112,Name_Map!$A$2:$A$102,0)),D112)</f>
        <v>Lima Car Import S.A.C.</v>
      </c>
      <c r="K112" s="22" t="n">
        <f aca="false">IF(F112&gt;0,G112/F112,0)</f>
        <v>4480.46666666667</v>
      </c>
      <c r="L112" s="10" t="str">
        <f aca="false">IF(AND(COUNTIFS($A$2:$A$307,A112,$E$2:$E$307,E112)&gt;1,COUNTIFS($A$2:$A$307,A112,$E$2:$E$307,E112,$G$2:$G$307,G112)=COUNTIFS($A$2:$A$307,A112,$E$2:$E$307,E112)),"CHECK","OK")</f>
        <v>OK</v>
      </c>
      <c r="M112" s="22" t="n">
        <f aca="false">IF(L112="CHECK",G112/SUMIFS($F$2:$F$307,$A$2:$A$307,A112,$E$2:$E$307,E112),K112)</f>
        <v>4480.46666666667</v>
      </c>
      <c r="N112" s="10" t="str">
        <f aca="false">IF(COUNTIF(Parameters!$E$6:$E$13,H112)&gt;0,"Yes","No")</f>
        <v>Yes</v>
      </c>
      <c r="O112" s="10" t="str">
        <f aca="false">IF(M112&lt;=Parameters!$B$3,IF(COUNTIF(Parameters!$A$6:$A$7,E112)&gt;0,"Vehicles","Out of scope"),IF(COUNTIF(Parameters!$C$6:$C$14,E112)&gt;0,"H&amp;H","Out of scope"))</f>
        <v>Vehicles</v>
      </c>
      <c r="P112" s="22" t="n">
        <f aca="false">M112*F112</f>
        <v>134414</v>
      </c>
    </row>
    <row r="113" customFormat="false" ht="15" hidden="false" customHeight="false" outlineLevel="0" collapsed="false">
      <c r="A113" s="10" t="s">
        <v>263</v>
      </c>
      <c r="B113" s="21" t="n">
        <v>45795</v>
      </c>
      <c r="C113" s="10" t="s">
        <v>158</v>
      </c>
      <c r="D113" s="10" t="s">
        <v>119</v>
      </c>
      <c r="E113" s="10" t="n">
        <v>8703</v>
      </c>
      <c r="F113" s="22" t="n">
        <v>33</v>
      </c>
      <c r="G113" s="22" t="n">
        <v>44140</v>
      </c>
      <c r="H113" s="10" t="s">
        <v>31</v>
      </c>
      <c r="I113" s="10" t="str">
        <f aca="false">IFERROR(VLOOKUP(E113,Parameters!$G$6:$H$15,2,FALSE()),"")</f>
        <v>Passenger cars</v>
      </c>
      <c r="J113" s="10" t="str">
        <f aca="false">IFERROR(INDEX(Name_Map!$B$2:$B$102,MATCH(D113,Name_Map!$A$2:$A$102,0)),D113)</f>
        <v>Lima Car Import S.A.C.</v>
      </c>
      <c r="K113" s="22" t="n">
        <f aca="false">IF(F113&gt;0,G113/F113,0)</f>
        <v>1337.57575757576</v>
      </c>
      <c r="L113" s="10" t="str">
        <f aca="false">IF(AND(COUNTIFS($A$2:$A$307,A113,$E$2:$E$307,E113)&gt;1,COUNTIFS($A$2:$A$307,A113,$E$2:$E$307,E113,$G$2:$G$307,G113)=COUNTIFS($A$2:$A$307,A113,$E$2:$E$307,E113)),"CHECK","OK")</f>
        <v>OK</v>
      </c>
      <c r="M113" s="22" t="n">
        <f aca="false">IF(L113="CHECK",G113/SUMIFS($F$2:$F$307,$A$2:$A$307,A113,$E$2:$E$307,E113),K113)</f>
        <v>1337.57575757576</v>
      </c>
      <c r="N113" s="10" t="str">
        <f aca="false">IF(COUNTIF(Parameters!$E$6:$E$13,H113)&gt;0,"Yes","No")</f>
        <v>Yes</v>
      </c>
      <c r="O113" s="10" t="str">
        <f aca="false">IF(M113&lt;=Parameters!$B$3,IF(COUNTIF(Parameters!$A$6:$A$7,E113)&gt;0,"Vehicles","Out of scope"),IF(COUNTIF(Parameters!$C$6:$C$14,E113)&gt;0,"H&amp;H","Out of scope"))</f>
        <v>Vehicles</v>
      </c>
      <c r="P113" s="22" t="n">
        <f aca="false">M113*F113</f>
        <v>44140</v>
      </c>
    </row>
    <row r="114" customFormat="false" ht="15" hidden="false" customHeight="false" outlineLevel="0" collapsed="false">
      <c r="A114" s="10" t="s">
        <v>264</v>
      </c>
      <c r="B114" s="21" t="n">
        <v>45797</v>
      </c>
      <c r="C114" s="10" t="s">
        <v>156</v>
      </c>
      <c r="D114" s="10" t="s">
        <v>56</v>
      </c>
      <c r="E114" s="10" t="n">
        <v>8705</v>
      </c>
      <c r="F114" s="22" t="n">
        <v>3</v>
      </c>
      <c r="G114" s="22" t="n">
        <v>95877</v>
      </c>
      <c r="H114" s="10" t="s">
        <v>33</v>
      </c>
      <c r="I114" s="10" t="str">
        <f aca="false">IFERROR(VLOOKUP(E114,Parameters!$G$6:$H$15,2,FALSE()),"")</f>
        <v>Special-purpose vehicles</v>
      </c>
      <c r="J114" s="10" t="str">
        <f aca="false">IFERROR(INDEX(Name_Map!$B$2:$B$102,MATCH(D114,Name_Map!$A$2:$A$102,0)),D114)</f>
        <v>Austral Truck Center SpA</v>
      </c>
      <c r="K114" s="22" t="n">
        <f aca="false">IF(F114&gt;0,G114/F114,0)</f>
        <v>31959</v>
      </c>
      <c r="L114" s="10" t="str">
        <f aca="false">IF(AND(COUNTIFS($A$2:$A$307,A114,$E$2:$E$307,E114)&gt;1,COUNTIFS($A$2:$A$307,A114,$E$2:$E$307,E114,$G$2:$G$307,G114)=COUNTIFS($A$2:$A$307,A114,$E$2:$E$307,E114)),"CHECK","OK")</f>
        <v>OK</v>
      </c>
      <c r="M114" s="22" t="n">
        <f aca="false">IF(L114="CHECK",G114/SUMIFS($F$2:$F$307,$A$2:$A$307,A114,$E$2:$E$307,E114),K114)</f>
        <v>31959</v>
      </c>
      <c r="N114" s="10" t="str">
        <f aca="false">IF(COUNTIF(Parameters!$E$6:$E$13,H114)&gt;0,"Yes","No")</f>
        <v>Yes</v>
      </c>
      <c r="O114" s="10" t="str">
        <f aca="false">IF(M114&lt;=Parameters!$B$3,IF(COUNTIF(Parameters!$A$6:$A$7,E114)&gt;0,"Vehicles","Out of scope"),IF(COUNTIF(Parameters!$C$6:$C$14,E114)&gt;0,"H&amp;H","Out of scope"))</f>
        <v>H&amp;H</v>
      </c>
      <c r="P114" s="22" t="n">
        <f aca="false">M114*F114</f>
        <v>95877</v>
      </c>
    </row>
    <row r="115" customFormat="false" ht="15" hidden="false" customHeight="false" outlineLevel="0" collapsed="false">
      <c r="A115" s="10" t="s">
        <v>265</v>
      </c>
      <c r="B115" s="21" t="n">
        <v>45797</v>
      </c>
      <c r="C115" s="10" t="s">
        <v>157</v>
      </c>
      <c r="D115" s="10" t="s">
        <v>58</v>
      </c>
      <c r="E115" s="10" t="n">
        <v>8703</v>
      </c>
      <c r="F115" s="22" t="n">
        <v>26</v>
      </c>
      <c r="G115" s="22" t="n">
        <v>66873</v>
      </c>
      <c r="H115" s="10" t="s">
        <v>29</v>
      </c>
      <c r="I115" s="10" t="str">
        <f aca="false">IFERROR(VLOOKUP(E115,Parameters!$G$6:$H$15,2,FALSE()),"")</f>
        <v>Passenger cars</v>
      </c>
      <c r="J115" s="10" t="str">
        <f aca="false">IFERROR(INDEX(Name_Map!$B$2:$B$102,MATCH(D115,Name_Map!$A$2:$A$102,0)),D115)</f>
        <v>Autonorte Distribuciones S.A.S.</v>
      </c>
      <c r="K115" s="22" t="n">
        <f aca="false">IF(F115&gt;0,G115/F115,0)</f>
        <v>2572.03846153846</v>
      </c>
      <c r="L115" s="10" t="str">
        <f aca="false">IF(AND(COUNTIFS($A$2:$A$307,A115,$E$2:$E$307,E115)&gt;1,COUNTIFS($A$2:$A$307,A115,$E$2:$E$307,E115,$G$2:$G$307,G115)=COUNTIFS($A$2:$A$307,A115,$E$2:$E$307,E115)),"CHECK","OK")</f>
        <v>OK</v>
      </c>
      <c r="M115" s="22" t="n">
        <f aca="false">IF(L115="CHECK",G115/SUMIFS($F$2:$F$307,$A$2:$A$307,A115,$E$2:$E$307,E115),K115)</f>
        <v>2572.03846153846</v>
      </c>
      <c r="N115" s="10" t="str">
        <f aca="false">IF(COUNTIF(Parameters!$E$6:$E$13,H115)&gt;0,"Yes","No")</f>
        <v>Yes</v>
      </c>
      <c r="O115" s="10" t="str">
        <f aca="false">IF(M115&lt;=Parameters!$B$3,IF(COUNTIF(Parameters!$A$6:$A$7,E115)&gt;0,"Vehicles","Out of scope"),IF(COUNTIF(Parameters!$C$6:$C$14,E115)&gt;0,"H&amp;H","Out of scope"))</f>
        <v>Vehicles</v>
      </c>
      <c r="P115" s="22" t="n">
        <f aca="false">M115*F115</f>
        <v>66873</v>
      </c>
    </row>
    <row r="116" customFormat="false" ht="15" hidden="false" customHeight="false" outlineLevel="0" collapsed="false">
      <c r="A116" s="10" t="s">
        <v>266</v>
      </c>
      <c r="B116" s="21" t="n">
        <v>45797</v>
      </c>
      <c r="C116" s="10" t="s">
        <v>159</v>
      </c>
      <c r="D116" s="10" t="s">
        <v>107</v>
      </c>
      <c r="E116" s="10" t="n">
        <v>8703</v>
      </c>
      <c r="F116" s="22" t="n">
        <v>28</v>
      </c>
      <c r="G116" s="22" t="n">
        <v>47917</v>
      </c>
      <c r="H116" s="10" t="s">
        <v>39</v>
      </c>
      <c r="I116" s="10" t="str">
        <f aca="false">IFERROR(VLOOKUP(E116,Parameters!$G$6:$H$15,2,FALSE()),"")</f>
        <v>Passenger cars</v>
      </c>
      <c r="J116" s="10" t="str">
        <f aca="false">IFERROR(INDEX(Name_Map!$B$2:$B$102,MATCH(D116,Name_Map!$A$2:$A$102,0)),D116)</f>
        <v>Guayas Autos S.A.</v>
      </c>
      <c r="K116" s="22" t="n">
        <f aca="false">IF(F116&gt;0,G116/F116,0)</f>
        <v>1711.32142857143</v>
      </c>
      <c r="L116" s="10" t="str">
        <f aca="false">IF(AND(COUNTIFS($A$2:$A$307,A116,$E$2:$E$307,E116)&gt;1,COUNTIFS($A$2:$A$307,A116,$E$2:$E$307,E116,$G$2:$G$307,G116)=COUNTIFS($A$2:$A$307,A116,$E$2:$E$307,E116)),"CHECK","OK")</f>
        <v>OK</v>
      </c>
      <c r="M116" s="22" t="n">
        <f aca="false">IF(L116="CHECK",G116/SUMIFS($F$2:$F$307,$A$2:$A$307,A116,$E$2:$E$307,E116),K116)</f>
        <v>1711.32142857143</v>
      </c>
      <c r="N116" s="10" t="str">
        <f aca="false">IF(COUNTIF(Parameters!$E$6:$E$13,H116)&gt;0,"Yes","No")</f>
        <v>Yes</v>
      </c>
      <c r="O116" s="10" t="str">
        <f aca="false">IF(M116&lt;=Parameters!$B$3,IF(COUNTIF(Parameters!$A$6:$A$7,E116)&gt;0,"Vehicles","Out of scope"),IF(COUNTIF(Parameters!$C$6:$C$14,E116)&gt;0,"H&amp;H","Out of scope"))</f>
        <v>Vehicles</v>
      </c>
      <c r="P116" s="22" t="n">
        <f aca="false">M116*F116</f>
        <v>47917</v>
      </c>
    </row>
    <row r="117" customFormat="false" ht="15" hidden="false" customHeight="false" outlineLevel="0" collapsed="false">
      <c r="A117" s="10" t="s">
        <v>266</v>
      </c>
      <c r="B117" s="21" t="n">
        <v>45797</v>
      </c>
      <c r="C117" s="10" t="s">
        <v>159</v>
      </c>
      <c r="D117" s="10" t="s">
        <v>107</v>
      </c>
      <c r="E117" s="10" t="n">
        <v>8703</v>
      </c>
      <c r="F117" s="22" t="n">
        <v>24</v>
      </c>
      <c r="G117" s="22" t="n">
        <v>48806</v>
      </c>
      <c r="H117" s="10" t="s">
        <v>39</v>
      </c>
      <c r="I117" s="10" t="str">
        <f aca="false">IFERROR(VLOOKUP(E117,Parameters!$G$6:$H$15,2,FALSE()),"")</f>
        <v>Passenger cars</v>
      </c>
      <c r="J117" s="10" t="str">
        <f aca="false">IFERROR(INDEX(Name_Map!$B$2:$B$102,MATCH(D117,Name_Map!$A$2:$A$102,0)),D117)</f>
        <v>Guayas Autos S.A.</v>
      </c>
      <c r="K117" s="22" t="n">
        <f aca="false">IF(F117&gt;0,G117/F117,0)</f>
        <v>2033.58333333333</v>
      </c>
      <c r="L117" s="10" t="str">
        <f aca="false">IF(AND(COUNTIFS($A$2:$A$307,A117,$E$2:$E$307,E117)&gt;1,COUNTIFS($A$2:$A$307,A117,$E$2:$E$307,E117,$G$2:$G$307,G117)=COUNTIFS($A$2:$A$307,A117,$E$2:$E$307,E117)),"CHECK","OK")</f>
        <v>OK</v>
      </c>
      <c r="M117" s="22" t="n">
        <f aca="false">IF(L117="CHECK",G117/SUMIFS($F$2:$F$307,$A$2:$A$307,A117,$E$2:$E$307,E117),K117)</f>
        <v>2033.58333333333</v>
      </c>
      <c r="N117" s="10" t="str">
        <f aca="false">IF(COUNTIF(Parameters!$E$6:$E$13,H117)&gt;0,"Yes","No")</f>
        <v>Yes</v>
      </c>
      <c r="O117" s="10" t="str">
        <f aca="false">IF(M117&lt;=Parameters!$B$3,IF(COUNTIF(Parameters!$A$6:$A$7,E117)&gt;0,"Vehicles","Out of scope"),IF(COUNTIF(Parameters!$C$6:$C$14,E117)&gt;0,"H&amp;H","Out of scope"))</f>
        <v>Vehicles</v>
      </c>
      <c r="P117" s="22" t="n">
        <f aca="false">M117*F117</f>
        <v>48806</v>
      </c>
    </row>
    <row r="118" customFormat="false" ht="15" hidden="false" customHeight="false" outlineLevel="0" collapsed="false">
      <c r="A118" s="10" t="s">
        <v>267</v>
      </c>
      <c r="B118" s="21" t="n">
        <v>45798</v>
      </c>
      <c r="C118" s="10" t="s">
        <v>159</v>
      </c>
      <c r="D118" s="10" t="s">
        <v>107</v>
      </c>
      <c r="E118" s="10" t="n">
        <v>8704</v>
      </c>
      <c r="F118" s="22" t="n">
        <v>35</v>
      </c>
      <c r="G118" s="22" t="n">
        <v>161602</v>
      </c>
      <c r="H118" s="10" t="s">
        <v>186</v>
      </c>
      <c r="I118" s="10" t="str">
        <f aca="false">IFERROR(VLOOKUP(E118,Parameters!$G$6:$H$15,2,FALSE()),"")</f>
        <v>Goods vehicles (trucks)</v>
      </c>
      <c r="J118" s="10" t="str">
        <f aca="false">IFERROR(INDEX(Name_Map!$B$2:$B$102,MATCH(D118,Name_Map!$A$2:$A$102,0)),D118)</f>
        <v>Guayas Autos S.A.</v>
      </c>
      <c r="K118" s="22" t="n">
        <f aca="false">IF(F118&gt;0,G118/F118,0)</f>
        <v>4617.2</v>
      </c>
      <c r="L118" s="10" t="str">
        <f aca="false">IF(AND(COUNTIFS($A$2:$A$307,A118,$E$2:$E$307,E118)&gt;1,COUNTIFS($A$2:$A$307,A118,$E$2:$E$307,E118,$G$2:$G$307,G118)=COUNTIFS($A$2:$A$307,A118,$E$2:$E$307,E118)),"CHECK","OK")</f>
        <v>OK</v>
      </c>
      <c r="M118" s="22" t="n">
        <f aca="false">IF(L118="CHECK",G118/SUMIFS($F$2:$F$307,$A$2:$A$307,A118,$E$2:$E$307,E118),K118)</f>
        <v>4617.2</v>
      </c>
      <c r="N118" s="10" t="str">
        <f aca="false">IF(COUNTIF(Parameters!$E$6:$E$13,H118)&gt;0,"Yes","No")</f>
        <v>No</v>
      </c>
      <c r="O118" s="10" t="str">
        <f aca="false">IF(M118&lt;=Parameters!$B$3,IF(COUNTIF(Parameters!$A$6:$A$7,E118)&gt;0,"Vehicles","Out of scope"),IF(COUNTIF(Parameters!$C$6:$C$14,E118)&gt;0,"H&amp;H","Out of scope"))</f>
        <v>Vehicles</v>
      </c>
      <c r="P118" s="22" t="n">
        <f aca="false">M118*F118</f>
        <v>161602</v>
      </c>
    </row>
    <row r="119" customFormat="false" ht="15" hidden="false" customHeight="false" outlineLevel="0" collapsed="false">
      <c r="A119" s="10" t="s">
        <v>268</v>
      </c>
      <c r="B119" s="21" t="n">
        <v>45800</v>
      </c>
      <c r="C119" s="10" t="s">
        <v>157</v>
      </c>
      <c r="D119" s="10" t="s">
        <v>125</v>
      </c>
      <c r="E119" s="10" t="n">
        <v>8433</v>
      </c>
      <c r="F119" s="22" t="n">
        <v>4</v>
      </c>
      <c r="G119" s="22" t="n">
        <v>191599</v>
      </c>
      <c r="H119" s="10" t="s">
        <v>223</v>
      </c>
      <c r="I119" s="10" t="str">
        <f aca="false">IFERROR(VLOOKUP(E119,Parameters!$G$6:$H$15,2,FALSE()),"")</f>
        <v>Harvesting machinery</v>
      </c>
      <c r="J119" s="10" t="str">
        <f aca="false">IFERROR(INDEX(Name_Map!$B$2:$B$102,MATCH(D119,Name_Map!$A$2:$A$102,0)),D119)</f>
        <v>Llanos Agro Equipos S.A.S.</v>
      </c>
      <c r="K119" s="22" t="n">
        <f aca="false">IF(F119&gt;0,G119/F119,0)</f>
        <v>47899.75</v>
      </c>
      <c r="L119" s="10" t="str">
        <f aca="false">IF(AND(COUNTIFS($A$2:$A$307,A119,$E$2:$E$307,E119)&gt;1,COUNTIFS($A$2:$A$307,A119,$E$2:$E$307,E119,$G$2:$G$307,G119)=COUNTIFS($A$2:$A$307,A119,$E$2:$E$307,E119)),"CHECK","OK")</f>
        <v>OK</v>
      </c>
      <c r="M119" s="22" t="n">
        <f aca="false">IF(L119="CHECK",G119/SUMIFS($F$2:$F$307,$A$2:$A$307,A119,$E$2:$E$307,E119),K119)</f>
        <v>47899.75</v>
      </c>
      <c r="N119" s="10" t="str">
        <f aca="false">IF(COUNTIF(Parameters!$E$6:$E$13,H119)&gt;0,"Yes","No")</f>
        <v>No</v>
      </c>
      <c r="O119" s="10" t="str">
        <f aca="false">IF(M119&lt;=Parameters!$B$3,IF(COUNTIF(Parameters!$A$6:$A$7,E119)&gt;0,"Vehicles","Out of scope"),IF(COUNTIF(Parameters!$C$6:$C$14,E119)&gt;0,"H&amp;H","Out of scope"))</f>
        <v>H&amp;H</v>
      </c>
      <c r="P119" s="22" t="n">
        <f aca="false">M119*F119</f>
        <v>191599</v>
      </c>
    </row>
    <row r="120" customFormat="false" ht="15" hidden="false" customHeight="false" outlineLevel="0" collapsed="false">
      <c r="A120" s="10" t="s">
        <v>268</v>
      </c>
      <c r="B120" s="21" t="n">
        <v>45800</v>
      </c>
      <c r="C120" s="10" t="s">
        <v>157</v>
      </c>
      <c r="D120" s="10" t="s">
        <v>121</v>
      </c>
      <c r="E120" s="10" t="n">
        <v>8429</v>
      </c>
      <c r="F120" s="22" t="n">
        <v>2</v>
      </c>
      <c r="G120" s="22" t="n">
        <v>64938</v>
      </c>
      <c r="H120" s="10" t="s">
        <v>223</v>
      </c>
      <c r="I120" s="10" t="str">
        <f aca="false">IFERROR(VLOOKUP(E120,Parameters!$G$6:$H$15,2,FALSE()),"")</f>
        <v>Bulldozers / excavators / loaders</v>
      </c>
      <c r="J120" s="10" t="str">
        <f aca="false">IFERROR(INDEX(Name_Map!$B$2:$B$102,MATCH(D120,Name_Map!$A$2:$A$102,0)),D120)</f>
        <v>Llanos Agro Equipos S.A.S.</v>
      </c>
      <c r="K120" s="22" t="n">
        <f aca="false">IF(F120&gt;0,G120/F120,0)</f>
        <v>32469</v>
      </c>
      <c r="L120" s="10" t="str">
        <f aca="false">IF(AND(COUNTIFS($A$2:$A$307,A120,$E$2:$E$307,E120)&gt;1,COUNTIFS($A$2:$A$307,A120,$E$2:$E$307,E120,$G$2:$G$307,G120)=COUNTIFS($A$2:$A$307,A120,$E$2:$E$307,E120)),"CHECK","OK")</f>
        <v>OK</v>
      </c>
      <c r="M120" s="22" t="n">
        <f aca="false">IF(L120="CHECK",G120/SUMIFS($F$2:$F$307,$A$2:$A$307,A120,$E$2:$E$307,E120),K120)</f>
        <v>32469</v>
      </c>
      <c r="N120" s="10" t="str">
        <f aca="false">IF(COUNTIF(Parameters!$E$6:$E$13,H120)&gt;0,"Yes","No")</f>
        <v>No</v>
      </c>
      <c r="O120" s="10" t="str">
        <f aca="false">IF(M120&lt;=Parameters!$B$3,IF(COUNTIF(Parameters!$A$6:$A$7,E120)&gt;0,"Vehicles","Out of scope"),IF(COUNTIF(Parameters!$C$6:$C$14,E120)&gt;0,"H&amp;H","Out of scope"))</f>
        <v>H&amp;H</v>
      </c>
      <c r="P120" s="22" t="n">
        <f aca="false">M120*F120</f>
        <v>64938</v>
      </c>
    </row>
    <row r="121" customFormat="false" ht="15" hidden="false" customHeight="false" outlineLevel="0" collapsed="false">
      <c r="A121" s="10" t="s">
        <v>269</v>
      </c>
      <c r="B121" s="21" t="n">
        <v>45802</v>
      </c>
      <c r="C121" s="10" t="s">
        <v>158</v>
      </c>
      <c r="D121" s="10" t="s">
        <v>48</v>
      </c>
      <c r="E121" s="10" t="n">
        <v>8704</v>
      </c>
      <c r="F121" s="22" t="n">
        <v>33</v>
      </c>
      <c r="G121" s="22" t="n">
        <v>306572</v>
      </c>
      <c r="H121" s="10" t="s">
        <v>182</v>
      </c>
      <c r="I121" s="10" t="str">
        <f aca="false">IFERROR(VLOOKUP(E121,Parameters!$G$6:$H$15,2,FALSE()),"")</f>
        <v>Goods vehicles (trucks)</v>
      </c>
      <c r="J121" s="10" t="str">
        <f aca="false">IFERROR(INDEX(Name_Map!$B$2:$B$102,MATCH(D121,Name_Map!$A$2:$A$102,0)),D121)</f>
        <v>Altiplano Trucks S.A.C.</v>
      </c>
      <c r="K121" s="22" t="n">
        <f aca="false">IF(F121&gt;0,G121/F121,0)</f>
        <v>9290.06060606061</v>
      </c>
      <c r="L121" s="10" t="str">
        <f aca="false">IF(AND(COUNTIFS($A$2:$A$307,A121,$E$2:$E$307,E121)&gt;1,COUNTIFS($A$2:$A$307,A121,$E$2:$E$307,E121,$G$2:$G$307,G121)=COUNTIFS($A$2:$A$307,A121,$E$2:$E$307,E121)),"CHECK","OK")</f>
        <v>OK</v>
      </c>
      <c r="M121" s="22" t="n">
        <f aca="false">IF(L121="CHECK",G121/SUMIFS($F$2:$F$307,$A$2:$A$307,A121,$E$2:$E$307,E121),K121)</f>
        <v>9290.06060606061</v>
      </c>
      <c r="N121" s="10" t="str">
        <f aca="false">IF(COUNTIF(Parameters!$E$6:$E$13,H121)&gt;0,"Yes","No")</f>
        <v>No</v>
      </c>
      <c r="O121" s="10" t="str">
        <f aca="false">IF(M121&lt;=Parameters!$B$3,IF(COUNTIF(Parameters!$A$6:$A$7,E121)&gt;0,"Vehicles","Out of scope"),IF(COUNTIF(Parameters!$C$6:$C$14,E121)&gt;0,"H&amp;H","Out of scope"))</f>
        <v>Vehicles</v>
      </c>
      <c r="P121" s="22" t="n">
        <f aca="false">M121*F121</f>
        <v>306572</v>
      </c>
    </row>
    <row r="122" customFormat="false" ht="15" hidden="false" customHeight="false" outlineLevel="0" collapsed="false">
      <c r="A122" s="10" t="s">
        <v>269</v>
      </c>
      <c r="B122" s="21" t="n">
        <v>45802</v>
      </c>
      <c r="C122" s="10" t="s">
        <v>158</v>
      </c>
      <c r="D122" s="10" t="s">
        <v>47</v>
      </c>
      <c r="E122" s="10" t="n">
        <v>8703</v>
      </c>
      <c r="F122" s="22" t="n">
        <v>24</v>
      </c>
      <c r="G122" s="22" t="n">
        <v>43989</v>
      </c>
      <c r="H122" s="10" t="s">
        <v>182</v>
      </c>
      <c r="I122" s="10" t="str">
        <f aca="false">IFERROR(VLOOKUP(E122,Parameters!$G$6:$H$15,2,FALSE()),"")</f>
        <v>Passenger cars</v>
      </c>
      <c r="J122" s="10" t="str">
        <f aca="false">IFERROR(INDEX(Name_Map!$B$2:$B$102,MATCH(D122,Name_Map!$A$2:$A$102,0)),D122)</f>
        <v>Altiplano Trucks S.A.C.</v>
      </c>
      <c r="K122" s="22" t="n">
        <f aca="false">IF(F122&gt;0,G122/F122,0)</f>
        <v>1832.875</v>
      </c>
      <c r="L122" s="10" t="str">
        <f aca="false">IF(AND(COUNTIFS($A$2:$A$307,A122,$E$2:$E$307,E122)&gt;1,COUNTIFS($A$2:$A$307,A122,$E$2:$E$307,E122,$G$2:$G$307,G122)=COUNTIFS($A$2:$A$307,A122,$E$2:$E$307,E122)),"CHECK","OK")</f>
        <v>OK</v>
      </c>
      <c r="M122" s="22" t="n">
        <f aca="false">IF(L122="CHECK",G122/SUMIFS($F$2:$F$307,$A$2:$A$307,A122,$E$2:$E$307,E122),K122)</f>
        <v>1832.875</v>
      </c>
      <c r="N122" s="10" t="str">
        <f aca="false">IF(COUNTIF(Parameters!$E$6:$E$13,H122)&gt;0,"Yes","No")</f>
        <v>No</v>
      </c>
      <c r="O122" s="10" t="str">
        <f aca="false">IF(M122&lt;=Parameters!$B$3,IF(COUNTIF(Parameters!$A$6:$A$7,E122)&gt;0,"Vehicles","Out of scope"),IF(COUNTIF(Parameters!$C$6:$C$14,E122)&gt;0,"H&amp;H","Out of scope"))</f>
        <v>Vehicles</v>
      </c>
      <c r="P122" s="22" t="n">
        <f aca="false">M122*F122</f>
        <v>43989</v>
      </c>
    </row>
    <row r="123" customFormat="false" ht="15" hidden="false" customHeight="false" outlineLevel="0" collapsed="false">
      <c r="A123" s="10" t="s">
        <v>270</v>
      </c>
      <c r="B123" s="21" t="n">
        <v>45803</v>
      </c>
      <c r="C123" s="10" t="s">
        <v>160</v>
      </c>
      <c r="D123" s="10" t="s">
        <v>137</v>
      </c>
      <c r="E123" s="10" t="n">
        <v>8704</v>
      </c>
      <c r="F123" s="22" t="n">
        <v>19</v>
      </c>
      <c r="G123" s="22" t="n">
        <v>61353</v>
      </c>
      <c r="H123" s="10" t="s">
        <v>180</v>
      </c>
      <c r="I123" s="10" t="str">
        <f aca="false">IFERROR(VLOOKUP(E123,Parameters!$G$6:$H$15,2,FALSE()),"")</f>
        <v>Goods vehicles (trucks)</v>
      </c>
      <c r="J123" s="10" t="str">
        <f aca="false">IFERROR(INDEX(Name_Map!$B$2:$B$102,MATCH(D123,Name_Map!$A$2:$A$102,0)),D123)</f>
        <v>Quisqueya Motors S.R.L.</v>
      </c>
      <c r="K123" s="22" t="n">
        <f aca="false">IF(F123&gt;0,G123/F123,0)</f>
        <v>3229.10526315789</v>
      </c>
      <c r="L123" s="10" t="str">
        <f aca="false">IF(AND(COUNTIFS($A$2:$A$307,A123,$E$2:$E$307,E123)&gt;1,COUNTIFS($A$2:$A$307,A123,$E$2:$E$307,E123,$G$2:$G$307,G123)=COUNTIFS($A$2:$A$307,A123,$E$2:$E$307,E123)),"CHECK","OK")</f>
        <v>OK</v>
      </c>
      <c r="M123" s="22" t="n">
        <f aca="false">IF(L123="CHECK",G123/SUMIFS($F$2:$F$307,$A$2:$A$307,A123,$E$2:$E$307,E123),K123)</f>
        <v>3229.10526315789</v>
      </c>
      <c r="N123" s="10" t="str">
        <f aca="false">IF(COUNTIF(Parameters!$E$6:$E$13,H123)&gt;0,"Yes","No")</f>
        <v>No</v>
      </c>
      <c r="O123" s="10" t="str">
        <f aca="false">IF(M123&lt;=Parameters!$B$3,IF(COUNTIF(Parameters!$A$6:$A$7,E123)&gt;0,"Vehicles","Out of scope"),IF(COUNTIF(Parameters!$C$6:$C$14,E123)&gt;0,"H&amp;H","Out of scope"))</f>
        <v>Vehicles</v>
      </c>
      <c r="P123" s="22" t="n">
        <f aca="false">M123*F123</f>
        <v>61353</v>
      </c>
    </row>
    <row r="124" customFormat="false" ht="15" hidden="false" customHeight="false" outlineLevel="0" collapsed="false">
      <c r="A124" s="10" t="s">
        <v>270</v>
      </c>
      <c r="B124" s="21" t="n">
        <v>45803</v>
      </c>
      <c r="C124" s="10" t="s">
        <v>160</v>
      </c>
      <c r="D124" s="10" t="s">
        <v>137</v>
      </c>
      <c r="E124" s="10" t="n">
        <v>8704</v>
      </c>
      <c r="F124" s="22" t="n">
        <v>7</v>
      </c>
      <c r="G124" s="22" t="n">
        <v>44294</v>
      </c>
      <c r="H124" s="10" t="s">
        <v>180</v>
      </c>
      <c r="I124" s="10" t="str">
        <f aca="false">IFERROR(VLOOKUP(E124,Parameters!$G$6:$H$15,2,FALSE()),"")</f>
        <v>Goods vehicles (trucks)</v>
      </c>
      <c r="J124" s="10" t="str">
        <f aca="false">IFERROR(INDEX(Name_Map!$B$2:$B$102,MATCH(D124,Name_Map!$A$2:$A$102,0)),D124)</f>
        <v>Quisqueya Motors S.R.L.</v>
      </c>
      <c r="K124" s="22" t="n">
        <f aca="false">IF(F124&gt;0,G124/F124,0)</f>
        <v>6327.71428571429</v>
      </c>
      <c r="L124" s="10" t="str">
        <f aca="false">IF(AND(COUNTIFS($A$2:$A$307,A124,$E$2:$E$307,E124)&gt;1,COUNTIFS($A$2:$A$307,A124,$E$2:$E$307,E124,$G$2:$G$307,G124)=COUNTIFS($A$2:$A$307,A124,$E$2:$E$307,E124)),"CHECK","OK")</f>
        <v>OK</v>
      </c>
      <c r="M124" s="22" t="n">
        <f aca="false">IF(L124="CHECK",G124/SUMIFS($F$2:$F$307,$A$2:$A$307,A124,$E$2:$E$307,E124),K124)</f>
        <v>6327.71428571429</v>
      </c>
      <c r="N124" s="10" t="str">
        <f aca="false">IF(COUNTIF(Parameters!$E$6:$E$13,H124)&gt;0,"Yes","No")</f>
        <v>No</v>
      </c>
      <c r="O124" s="10" t="str">
        <f aca="false">IF(M124&lt;=Parameters!$B$3,IF(COUNTIF(Parameters!$A$6:$A$7,E124)&gt;0,"Vehicles","Out of scope"),IF(COUNTIF(Parameters!$C$6:$C$14,E124)&gt;0,"H&amp;H","Out of scope"))</f>
        <v>Vehicles</v>
      </c>
      <c r="P124" s="22" t="n">
        <f aca="false">M124*F124</f>
        <v>44294</v>
      </c>
    </row>
    <row r="125" customFormat="false" ht="15" hidden="false" customHeight="false" outlineLevel="0" collapsed="false">
      <c r="A125" s="10" t="s">
        <v>271</v>
      </c>
      <c r="B125" s="21" t="n">
        <v>45805</v>
      </c>
      <c r="C125" s="10" t="s">
        <v>160</v>
      </c>
      <c r="D125" s="10" t="s">
        <v>52</v>
      </c>
      <c r="E125" s="10" t="n">
        <v>8427</v>
      </c>
      <c r="F125" s="22" t="n">
        <v>4</v>
      </c>
      <c r="G125" s="22" t="n">
        <v>133757</v>
      </c>
      <c r="H125" s="10" t="s">
        <v>242</v>
      </c>
      <c r="I125" s="10" t="str">
        <f aca="false">IFERROR(VLOOKUP(E125,Parameters!$G$6:$H$15,2,FALSE()),"")</f>
        <v>Forklift trucks</v>
      </c>
      <c r="J125" s="10" t="str">
        <f aca="false">IFERROR(INDEX(Name_Map!$B$2:$B$102,MATCH(D125,Name_Map!$A$2:$A$102,0)),D125)</f>
        <v>Antillas Cargo Logistics S.R.L.</v>
      </c>
      <c r="K125" s="22" t="n">
        <f aca="false">IF(F125&gt;0,G125/F125,0)</f>
        <v>33439.25</v>
      </c>
      <c r="L125" s="10" t="str">
        <f aca="false">IF(AND(COUNTIFS($A$2:$A$307,A125,$E$2:$E$307,E125)&gt;1,COUNTIFS($A$2:$A$307,A125,$E$2:$E$307,E125,$G$2:$G$307,G125)=COUNTIFS($A$2:$A$307,A125,$E$2:$E$307,E125)),"CHECK","OK")</f>
        <v>OK</v>
      </c>
      <c r="M125" s="22" t="n">
        <f aca="false">IF(L125="CHECK",G125/SUMIFS($F$2:$F$307,$A$2:$A$307,A125,$E$2:$E$307,E125),K125)</f>
        <v>33439.25</v>
      </c>
      <c r="N125" s="10" t="str">
        <f aca="false">IF(COUNTIF(Parameters!$E$6:$E$13,H125)&gt;0,"Yes","No")</f>
        <v>No</v>
      </c>
      <c r="O125" s="10" t="str">
        <f aca="false">IF(M125&lt;=Parameters!$B$3,IF(COUNTIF(Parameters!$A$6:$A$7,E125)&gt;0,"Vehicles","Out of scope"),IF(COUNTIF(Parameters!$C$6:$C$14,E125)&gt;0,"H&amp;H","Out of scope"))</f>
        <v>H&amp;H</v>
      </c>
      <c r="P125" s="22" t="n">
        <f aca="false">M125*F125</f>
        <v>133757</v>
      </c>
    </row>
    <row r="126" customFormat="false" ht="15" hidden="false" customHeight="false" outlineLevel="0" collapsed="false">
      <c r="A126" s="10" t="s">
        <v>272</v>
      </c>
      <c r="B126" s="21" t="n">
        <v>45805</v>
      </c>
      <c r="C126" s="10" t="s">
        <v>159</v>
      </c>
      <c r="D126" s="10" t="s">
        <v>98</v>
      </c>
      <c r="E126" s="10" t="n">
        <v>8704</v>
      </c>
      <c r="F126" s="22" t="n">
        <v>15</v>
      </c>
      <c r="G126" s="22" t="n">
        <v>52033</v>
      </c>
      <c r="H126" s="10" t="s">
        <v>180</v>
      </c>
      <c r="I126" s="10" t="str">
        <f aca="false">IFERROR(VLOOKUP(E126,Parameters!$G$6:$H$15,2,FALSE()),"")</f>
        <v>Goods vehicles (trucks)</v>
      </c>
      <c r="J126" s="10" t="str">
        <f aca="false">IFERROR(INDEX(Name_Map!$B$2:$B$102,MATCH(D126,Name_Map!$A$2:$A$102,0)),D126)</f>
        <v>Ecuamotors Cia. Ltda.</v>
      </c>
      <c r="K126" s="22" t="n">
        <f aca="false">IF(F126&gt;0,G126/F126,0)</f>
        <v>3468.86666666667</v>
      </c>
      <c r="L126" s="10" t="str">
        <f aca="false">IF(AND(COUNTIFS($A$2:$A$307,A126,$E$2:$E$307,E126)&gt;1,COUNTIFS($A$2:$A$307,A126,$E$2:$E$307,E126,$G$2:$G$307,G126)=COUNTIFS($A$2:$A$307,A126,$E$2:$E$307,E126)),"CHECK","OK")</f>
        <v>OK</v>
      </c>
      <c r="M126" s="22" t="n">
        <f aca="false">IF(L126="CHECK",G126/SUMIFS($F$2:$F$307,$A$2:$A$307,A126,$E$2:$E$307,E126),K126)</f>
        <v>3468.86666666667</v>
      </c>
      <c r="N126" s="10" t="str">
        <f aca="false">IF(COUNTIF(Parameters!$E$6:$E$13,H126)&gt;0,"Yes","No")</f>
        <v>No</v>
      </c>
      <c r="O126" s="10" t="str">
        <f aca="false">IF(M126&lt;=Parameters!$B$3,IF(COUNTIF(Parameters!$A$6:$A$7,E126)&gt;0,"Vehicles","Out of scope"),IF(COUNTIF(Parameters!$C$6:$C$14,E126)&gt;0,"H&amp;H","Out of scope"))</f>
        <v>Vehicles</v>
      </c>
      <c r="P126" s="22" t="n">
        <f aca="false">M126*F126</f>
        <v>52033</v>
      </c>
    </row>
    <row r="127" customFormat="false" ht="15" hidden="false" customHeight="false" outlineLevel="0" collapsed="false">
      <c r="A127" s="10" t="s">
        <v>272</v>
      </c>
      <c r="B127" s="21" t="n">
        <v>45805</v>
      </c>
      <c r="C127" s="10" t="s">
        <v>159</v>
      </c>
      <c r="D127" s="10" t="s">
        <v>99</v>
      </c>
      <c r="E127" s="10" t="n">
        <v>8703</v>
      </c>
      <c r="F127" s="22" t="n">
        <v>24</v>
      </c>
      <c r="G127" s="22" t="n">
        <v>54971</v>
      </c>
      <c r="H127" s="10" t="s">
        <v>180</v>
      </c>
      <c r="I127" s="10" t="str">
        <f aca="false">IFERROR(VLOOKUP(E127,Parameters!$G$6:$H$15,2,FALSE()),"")</f>
        <v>Passenger cars</v>
      </c>
      <c r="J127" s="10" t="str">
        <f aca="false">IFERROR(INDEX(Name_Map!$B$2:$B$102,MATCH(D127,Name_Map!$A$2:$A$102,0)),D127)</f>
        <v>Ecuamotors Cia. Ltda.</v>
      </c>
      <c r="K127" s="22" t="n">
        <f aca="false">IF(F127&gt;0,G127/F127,0)</f>
        <v>2290.45833333333</v>
      </c>
      <c r="L127" s="10" t="str">
        <f aca="false">IF(AND(COUNTIFS($A$2:$A$307,A127,$E$2:$E$307,E127)&gt;1,COUNTIFS($A$2:$A$307,A127,$E$2:$E$307,E127,$G$2:$G$307,G127)=COUNTIFS($A$2:$A$307,A127,$E$2:$E$307,E127)),"CHECK","OK")</f>
        <v>OK</v>
      </c>
      <c r="M127" s="22" t="n">
        <f aca="false">IF(L127="CHECK",G127/SUMIFS($F$2:$F$307,$A$2:$A$307,A127,$E$2:$E$307,E127),K127)</f>
        <v>2290.45833333333</v>
      </c>
      <c r="N127" s="10" t="str">
        <f aca="false">IF(COUNTIF(Parameters!$E$6:$E$13,H127)&gt;0,"Yes","No")</f>
        <v>No</v>
      </c>
      <c r="O127" s="10" t="str">
        <f aca="false">IF(M127&lt;=Parameters!$B$3,IF(COUNTIF(Parameters!$A$6:$A$7,E127)&gt;0,"Vehicles","Out of scope"),IF(COUNTIF(Parameters!$C$6:$C$14,E127)&gt;0,"H&amp;H","Out of scope"))</f>
        <v>Vehicles</v>
      </c>
      <c r="P127" s="22" t="n">
        <f aca="false">M127*F127</f>
        <v>54971</v>
      </c>
    </row>
    <row r="128" customFormat="false" ht="15" hidden="false" customHeight="false" outlineLevel="0" collapsed="false">
      <c r="A128" s="10" t="s">
        <v>273</v>
      </c>
      <c r="B128" s="21" t="n">
        <v>45807</v>
      </c>
      <c r="C128" s="10" t="s">
        <v>159</v>
      </c>
      <c r="D128" s="10" t="s">
        <v>100</v>
      </c>
      <c r="E128" s="10" t="n">
        <v>8429</v>
      </c>
      <c r="F128" s="22" t="n">
        <v>2</v>
      </c>
      <c r="G128" s="22" t="n">
        <v>42266</v>
      </c>
      <c r="H128" s="10" t="s">
        <v>37</v>
      </c>
      <c r="I128" s="10" t="str">
        <f aca="false">IFERROR(VLOOKUP(E128,Parameters!$G$6:$H$15,2,FALSE()),"")</f>
        <v>Bulldozers / excavators / loaders</v>
      </c>
      <c r="J128" s="10" t="str">
        <f aca="false">IFERROR(INDEX(Name_Map!$B$2:$B$102,MATCH(D128,Name_Map!$A$2:$A$102,0)),D128)</f>
        <v>Equinoccio Maquinaria S.A.</v>
      </c>
      <c r="K128" s="22" t="n">
        <f aca="false">IF(F128&gt;0,G128/F128,0)</f>
        <v>21133</v>
      </c>
      <c r="L128" s="10" t="str">
        <f aca="false">IF(AND(COUNTIFS($A$2:$A$307,A128,$E$2:$E$307,E128)&gt;1,COUNTIFS($A$2:$A$307,A128,$E$2:$E$307,E128,$G$2:$G$307,G128)=COUNTIFS($A$2:$A$307,A128,$E$2:$E$307,E128)),"CHECK","OK")</f>
        <v>OK</v>
      </c>
      <c r="M128" s="22" t="n">
        <f aca="false">IF(L128="CHECK",G128/SUMIFS($F$2:$F$307,$A$2:$A$307,A128,$E$2:$E$307,E128),K128)</f>
        <v>21133</v>
      </c>
      <c r="N128" s="10" t="str">
        <f aca="false">IF(COUNTIF(Parameters!$E$6:$E$13,H128)&gt;0,"Yes","No")</f>
        <v>Yes</v>
      </c>
      <c r="O128" s="10" t="str">
        <f aca="false">IF(M128&lt;=Parameters!$B$3,IF(COUNTIF(Parameters!$A$6:$A$7,E128)&gt;0,"Vehicles","Out of scope"),IF(COUNTIF(Parameters!$C$6:$C$14,E128)&gt;0,"H&amp;H","Out of scope"))</f>
        <v>H&amp;H</v>
      </c>
      <c r="P128" s="22" t="n">
        <f aca="false">M128*F128</f>
        <v>42266</v>
      </c>
    </row>
    <row r="129" customFormat="false" ht="15" hidden="false" customHeight="false" outlineLevel="0" collapsed="false">
      <c r="A129" s="10" t="s">
        <v>273</v>
      </c>
      <c r="B129" s="21" t="n">
        <v>45807</v>
      </c>
      <c r="C129" s="10" t="s">
        <v>159</v>
      </c>
      <c r="D129" s="10" t="s">
        <v>101</v>
      </c>
      <c r="E129" s="10" t="n">
        <v>8702</v>
      </c>
      <c r="F129" s="22" t="n">
        <v>1</v>
      </c>
      <c r="G129" s="22" t="n">
        <v>46359</v>
      </c>
      <c r="H129" s="10" t="s">
        <v>37</v>
      </c>
      <c r="I129" s="10" t="str">
        <f aca="false">IFERROR(VLOOKUP(E129,Parameters!$G$6:$H$15,2,FALSE()),"")</f>
        <v>Buses</v>
      </c>
      <c r="J129" s="10" t="str">
        <f aca="false">IFERROR(INDEX(Name_Map!$B$2:$B$102,MATCH(D129,Name_Map!$A$2:$A$102,0)),D129)</f>
        <v>Equinoccio Maquinaria S.A.</v>
      </c>
      <c r="K129" s="22" t="n">
        <f aca="false">IF(F129&gt;0,G129/F129,0)</f>
        <v>46359</v>
      </c>
      <c r="L129" s="10" t="str">
        <f aca="false">IF(AND(COUNTIFS($A$2:$A$307,A129,$E$2:$E$307,E129)&gt;1,COUNTIFS($A$2:$A$307,A129,$E$2:$E$307,E129,$G$2:$G$307,G129)=COUNTIFS($A$2:$A$307,A129,$E$2:$E$307,E129)),"CHECK","OK")</f>
        <v>OK</v>
      </c>
      <c r="M129" s="22" t="n">
        <f aca="false">IF(L129="CHECK",G129/SUMIFS($F$2:$F$307,$A$2:$A$307,A129,$E$2:$E$307,E129),K129)</f>
        <v>46359</v>
      </c>
      <c r="N129" s="10" t="str">
        <f aca="false">IF(COUNTIF(Parameters!$E$6:$E$13,H129)&gt;0,"Yes","No")</f>
        <v>Yes</v>
      </c>
      <c r="O129" s="10" t="str">
        <f aca="false">IF(M129&lt;=Parameters!$B$3,IF(COUNTIF(Parameters!$A$6:$A$7,E129)&gt;0,"Vehicles","Out of scope"),IF(COUNTIF(Parameters!$C$6:$C$14,E129)&gt;0,"H&amp;H","Out of scope"))</f>
        <v>H&amp;H</v>
      </c>
      <c r="P129" s="22" t="n">
        <f aca="false">M129*F129</f>
        <v>46359</v>
      </c>
    </row>
    <row r="130" customFormat="false" ht="15" hidden="false" customHeight="false" outlineLevel="0" collapsed="false">
      <c r="A130" s="10" t="s">
        <v>274</v>
      </c>
      <c r="B130" s="21" t="n">
        <v>45813</v>
      </c>
      <c r="C130" s="10" t="s">
        <v>157</v>
      </c>
      <c r="D130" s="10" t="s">
        <v>70</v>
      </c>
      <c r="E130" s="10" t="n">
        <v>8704</v>
      </c>
      <c r="F130" s="22" t="n">
        <v>22</v>
      </c>
      <c r="G130" s="22" t="n">
        <v>132284</v>
      </c>
      <c r="H130" s="10" t="s">
        <v>39</v>
      </c>
      <c r="I130" s="10" t="str">
        <f aca="false">IFERROR(VLOOKUP(E130,Parameters!$G$6:$H$15,2,FALSE()),"")</f>
        <v>Goods vehicles (trucks)</v>
      </c>
      <c r="J130" s="10" t="str">
        <f aca="false">IFERROR(INDEX(Name_Map!$B$2:$B$102,MATCH(D130,Name_Map!$A$2:$A$102,0)),D130)</f>
        <v>Bogota Car Import S.A.S.</v>
      </c>
      <c r="K130" s="22" t="n">
        <f aca="false">IF(F130&gt;0,G130/F130,0)</f>
        <v>6012.90909090909</v>
      </c>
      <c r="L130" s="10" t="str">
        <f aca="false">IF(AND(COUNTIFS($A$2:$A$307,A130,$E$2:$E$307,E130)&gt;1,COUNTIFS($A$2:$A$307,A130,$E$2:$E$307,E130,$G$2:$G$307,G130)=COUNTIFS($A$2:$A$307,A130,$E$2:$E$307,E130)),"CHECK","OK")</f>
        <v>OK</v>
      </c>
      <c r="M130" s="22" t="n">
        <f aca="false">IF(L130="CHECK",G130/SUMIFS($F$2:$F$307,$A$2:$A$307,A130,$E$2:$E$307,E130),K130)</f>
        <v>6012.90909090909</v>
      </c>
      <c r="N130" s="10" t="str">
        <f aca="false">IF(COUNTIF(Parameters!$E$6:$E$13,H130)&gt;0,"Yes","No")</f>
        <v>Yes</v>
      </c>
      <c r="O130" s="10" t="str">
        <f aca="false">IF(M130&lt;=Parameters!$B$3,IF(COUNTIF(Parameters!$A$6:$A$7,E130)&gt;0,"Vehicles","Out of scope"),IF(COUNTIF(Parameters!$C$6:$C$14,E130)&gt;0,"H&amp;H","Out of scope"))</f>
        <v>Vehicles</v>
      </c>
      <c r="P130" s="22" t="n">
        <f aca="false">M130*F130</f>
        <v>132284</v>
      </c>
    </row>
    <row r="131" customFormat="false" ht="15" hidden="false" customHeight="false" outlineLevel="0" collapsed="false">
      <c r="A131" s="10" t="s">
        <v>274</v>
      </c>
      <c r="B131" s="21" t="n">
        <v>45813</v>
      </c>
      <c r="C131" s="10" t="s">
        <v>157</v>
      </c>
      <c r="D131" s="10" t="s">
        <v>71</v>
      </c>
      <c r="E131" s="10" t="n">
        <v>8703</v>
      </c>
      <c r="F131" s="22" t="n">
        <v>34</v>
      </c>
      <c r="G131" s="22" t="n">
        <v>72067</v>
      </c>
      <c r="H131" s="10" t="s">
        <v>39</v>
      </c>
      <c r="I131" s="10" t="str">
        <f aca="false">IFERROR(VLOOKUP(E131,Parameters!$G$6:$H$15,2,FALSE()),"")</f>
        <v>Passenger cars</v>
      </c>
      <c r="J131" s="10" t="str">
        <f aca="false">IFERROR(INDEX(Name_Map!$B$2:$B$102,MATCH(D131,Name_Map!$A$2:$A$102,0)),D131)</f>
        <v>Bogota Car Import S.A.S.</v>
      </c>
      <c r="K131" s="22" t="n">
        <f aca="false">IF(F131&gt;0,G131/F131,0)</f>
        <v>2119.61764705882</v>
      </c>
      <c r="L131" s="10" t="str">
        <f aca="false">IF(AND(COUNTIFS($A$2:$A$307,A131,$E$2:$E$307,E131)&gt;1,COUNTIFS($A$2:$A$307,A131,$E$2:$E$307,E131,$G$2:$G$307,G131)=COUNTIFS($A$2:$A$307,A131,$E$2:$E$307,E131)),"CHECK","OK")</f>
        <v>OK</v>
      </c>
      <c r="M131" s="22" t="n">
        <f aca="false">IF(L131="CHECK",G131/SUMIFS($F$2:$F$307,$A$2:$A$307,A131,$E$2:$E$307,E131),K131)</f>
        <v>2119.61764705882</v>
      </c>
      <c r="N131" s="10" t="str">
        <f aca="false">IF(COUNTIF(Parameters!$E$6:$E$13,H131)&gt;0,"Yes","No")</f>
        <v>Yes</v>
      </c>
      <c r="O131" s="10" t="str">
        <f aca="false">IF(M131&lt;=Parameters!$B$3,IF(COUNTIF(Parameters!$A$6:$A$7,E131)&gt;0,"Vehicles","Out of scope"),IF(COUNTIF(Parameters!$C$6:$C$14,E131)&gt;0,"H&amp;H","Out of scope"))</f>
        <v>Vehicles</v>
      </c>
      <c r="P131" s="22" t="n">
        <f aca="false">M131*F131</f>
        <v>72067</v>
      </c>
    </row>
    <row r="132" customFormat="false" ht="15" hidden="false" customHeight="false" outlineLevel="0" collapsed="false">
      <c r="A132" s="10" t="s">
        <v>275</v>
      </c>
      <c r="B132" s="21" t="n">
        <v>45817</v>
      </c>
      <c r="C132" s="10" t="s">
        <v>159</v>
      </c>
      <c r="D132" s="10" t="s">
        <v>99</v>
      </c>
      <c r="E132" s="10" t="n">
        <v>8703</v>
      </c>
      <c r="F132" s="22" t="n">
        <v>12</v>
      </c>
      <c r="G132" s="22" t="n">
        <v>28990</v>
      </c>
      <c r="H132" s="10" t="s">
        <v>182</v>
      </c>
      <c r="I132" s="10" t="str">
        <f aca="false">IFERROR(VLOOKUP(E132,Parameters!$G$6:$H$15,2,FALSE()),"")</f>
        <v>Passenger cars</v>
      </c>
      <c r="J132" s="10" t="str">
        <f aca="false">IFERROR(INDEX(Name_Map!$B$2:$B$102,MATCH(D132,Name_Map!$A$2:$A$102,0)),D132)</f>
        <v>Ecuamotors Cia. Ltda.</v>
      </c>
      <c r="K132" s="22" t="n">
        <f aca="false">IF(F132&gt;0,G132/F132,0)</f>
        <v>2415.83333333333</v>
      </c>
      <c r="L132" s="10" t="str">
        <f aca="false">IF(AND(COUNTIFS($A$2:$A$307,A132,$E$2:$E$307,E132)&gt;1,COUNTIFS($A$2:$A$307,A132,$E$2:$E$307,E132,$G$2:$G$307,G132)=COUNTIFS($A$2:$A$307,A132,$E$2:$E$307,E132)),"CHECK","OK")</f>
        <v>OK</v>
      </c>
      <c r="M132" s="22" t="n">
        <f aca="false">IF(L132="CHECK",G132/SUMIFS($F$2:$F$307,$A$2:$A$307,A132,$E$2:$E$307,E132),K132)</f>
        <v>2415.83333333333</v>
      </c>
      <c r="N132" s="10" t="str">
        <f aca="false">IF(COUNTIF(Parameters!$E$6:$E$13,H132)&gt;0,"Yes","No")</f>
        <v>No</v>
      </c>
      <c r="O132" s="10" t="str">
        <f aca="false">IF(M132&lt;=Parameters!$B$3,IF(COUNTIF(Parameters!$A$6:$A$7,E132)&gt;0,"Vehicles","Out of scope"),IF(COUNTIF(Parameters!$C$6:$C$14,E132)&gt;0,"H&amp;H","Out of scope"))</f>
        <v>Vehicles</v>
      </c>
      <c r="P132" s="22" t="n">
        <f aca="false">M132*F132</f>
        <v>28990</v>
      </c>
    </row>
    <row r="133" customFormat="false" ht="15" hidden="false" customHeight="false" outlineLevel="0" collapsed="false">
      <c r="A133" s="10" t="s">
        <v>276</v>
      </c>
      <c r="B133" s="21" t="n">
        <v>45818</v>
      </c>
      <c r="C133" s="10" t="s">
        <v>159</v>
      </c>
      <c r="D133" s="10" t="s">
        <v>109</v>
      </c>
      <c r="E133" s="10" t="n">
        <v>8703</v>
      </c>
      <c r="F133" s="22" t="n">
        <v>27</v>
      </c>
      <c r="G133" s="22" t="n">
        <v>32205</v>
      </c>
      <c r="H133" s="10" t="s">
        <v>39</v>
      </c>
      <c r="I133" s="10" t="str">
        <f aca="false">IFERROR(VLOOKUP(E133,Parameters!$G$6:$H$15,2,FALSE()),"")</f>
        <v>Passenger cars</v>
      </c>
      <c r="J133" s="10" t="str">
        <f aca="false">IFERROR(INDEX(Name_Map!$B$2:$B$102,MATCH(D133,Name_Map!$A$2:$A$102,0)),D133)</f>
        <v>Guayas Autos S.A.</v>
      </c>
      <c r="K133" s="22" t="n">
        <f aca="false">IF(F133&gt;0,G133/F133,0)</f>
        <v>1192.77777777778</v>
      </c>
      <c r="L133" s="10" t="str">
        <f aca="false">IF(AND(COUNTIFS($A$2:$A$307,A133,$E$2:$E$307,E133)&gt;1,COUNTIFS($A$2:$A$307,A133,$E$2:$E$307,E133,$G$2:$G$307,G133)=COUNTIFS($A$2:$A$307,A133,$E$2:$E$307,E133)),"CHECK","OK")</f>
        <v>OK</v>
      </c>
      <c r="M133" s="22" t="n">
        <f aca="false">IF(L133="CHECK",G133/SUMIFS($F$2:$F$307,$A$2:$A$307,A133,$E$2:$E$307,E133),K133)</f>
        <v>1192.77777777778</v>
      </c>
      <c r="N133" s="10" t="str">
        <f aca="false">IF(COUNTIF(Parameters!$E$6:$E$13,H133)&gt;0,"Yes","No")</f>
        <v>Yes</v>
      </c>
      <c r="O133" s="10" t="str">
        <f aca="false">IF(M133&lt;=Parameters!$B$3,IF(COUNTIF(Parameters!$A$6:$A$7,E133)&gt;0,"Vehicles","Out of scope"),IF(COUNTIF(Parameters!$C$6:$C$14,E133)&gt;0,"H&amp;H","Out of scope"))</f>
        <v>Vehicles</v>
      </c>
      <c r="P133" s="22" t="n">
        <f aca="false">M133*F133</f>
        <v>32205</v>
      </c>
    </row>
    <row r="134" customFormat="false" ht="15" hidden="false" customHeight="false" outlineLevel="0" collapsed="false">
      <c r="A134" s="10" t="s">
        <v>277</v>
      </c>
      <c r="B134" s="21" t="n">
        <v>45818</v>
      </c>
      <c r="C134" s="10" t="s">
        <v>161</v>
      </c>
      <c r="D134" s="10" t="s">
        <v>90</v>
      </c>
      <c r="E134" s="10" t="n">
        <v>8426</v>
      </c>
      <c r="F134" s="22" t="n">
        <v>4</v>
      </c>
      <c r="G134" s="22" t="n">
        <v>113476</v>
      </c>
      <c r="H134" s="10" t="s">
        <v>33</v>
      </c>
      <c r="I134" s="10" t="str">
        <f aca="false">IFERROR(VLOOKUP(E134,Parameters!$G$6:$H$15,2,FALSE()),"")</f>
        <v>Cranes</v>
      </c>
      <c r="J134" s="10" t="str">
        <f aca="false">IFERROR(INDEX(Name_Map!$B$2:$B$102,MATCH(D134,Name_Map!$A$2:$A$102,0)),D134)</f>
        <v>Chiriqui Agro Machinery S.A.</v>
      </c>
      <c r="K134" s="22" t="n">
        <f aca="false">IF(F134&gt;0,G134/F134,0)</f>
        <v>28369</v>
      </c>
      <c r="L134" s="10" t="str">
        <f aca="false">IF(AND(COUNTIFS($A$2:$A$307,A134,$E$2:$E$307,E134)&gt;1,COUNTIFS($A$2:$A$307,A134,$E$2:$E$307,E134,$G$2:$G$307,G134)=COUNTIFS($A$2:$A$307,A134,$E$2:$E$307,E134)),"CHECK","OK")</f>
        <v>OK</v>
      </c>
      <c r="M134" s="22" t="n">
        <f aca="false">IF(L134="CHECK",G134/SUMIFS($F$2:$F$307,$A$2:$A$307,A134,$E$2:$E$307,E134),K134)</f>
        <v>28369</v>
      </c>
      <c r="N134" s="10" t="str">
        <f aca="false">IF(COUNTIF(Parameters!$E$6:$E$13,H134)&gt;0,"Yes","No")</f>
        <v>Yes</v>
      </c>
      <c r="O134" s="10" t="str">
        <f aca="false">IF(M134&lt;=Parameters!$B$3,IF(COUNTIF(Parameters!$A$6:$A$7,E134)&gt;0,"Vehicles","Out of scope"),IF(COUNTIF(Parameters!$C$6:$C$14,E134)&gt;0,"H&amp;H","Out of scope"))</f>
        <v>H&amp;H</v>
      </c>
      <c r="P134" s="22" t="n">
        <f aca="false">M134*F134</f>
        <v>113476</v>
      </c>
    </row>
    <row r="135" customFormat="false" ht="15" hidden="false" customHeight="false" outlineLevel="0" collapsed="false">
      <c r="A135" s="10" t="s">
        <v>278</v>
      </c>
      <c r="B135" s="21" t="n">
        <v>45821</v>
      </c>
      <c r="C135" s="10" t="s">
        <v>161</v>
      </c>
      <c r="D135" s="10" t="s">
        <v>113</v>
      </c>
      <c r="E135" s="10" t="n">
        <v>8703</v>
      </c>
      <c r="F135" s="22" t="n">
        <v>35</v>
      </c>
      <c r="G135" s="22" t="n">
        <v>56105</v>
      </c>
      <c r="H135" s="10" t="s">
        <v>37</v>
      </c>
      <c r="I135" s="10" t="str">
        <f aca="false">IFERROR(VLOOKUP(E135,Parameters!$G$6:$H$15,2,FALSE()),"")</f>
        <v>Passenger cars</v>
      </c>
      <c r="J135" s="10" t="str">
        <f aca="false">IFERROR(INDEX(Name_Map!$B$2:$B$102,MATCH(D135,Name_Map!$A$2:$A$102,0)),D135)</f>
        <v>Istmo Motors S.A.</v>
      </c>
      <c r="K135" s="22" t="n">
        <f aca="false">IF(F135&gt;0,G135/F135,0)</f>
        <v>1603</v>
      </c>
      <c r="L135" s="10" t="str">
        <f aca="false">IF(AND(COUNTIFS($A$2:$A$307,A135,$E$2:$E$307,E135)&gt;1,COUNTIFS($A$2:$A$307,A135,$E$2:$E$307,E135,$G$2:$G$307,G135)=COUNTIFS($A$2:$A$307,A135,$E$2:$E$307,E135)),"CHECK","OK")</f>
        <v>OK</v>
      </c>
      <c r="M135" s="22" t="n">
        <f aca="false">IF(L135="CHECK",G135/SUMIFS($F$2:$F$307,$A$2:$A$307,A135,$E$2:$E$307,E135),K135)</f>
        <v>1603</v>
      </c>
      <c r="N135" s="10" t="str">
        <f aca="false">IF(COUNTIF(Parameters!$E$6:$E$13,H135)&gt;0,"Yes","No")</f>
        <v>Yes</v>
      </c>
      <c r="O135" s="10" t="str">
        <f aca="false">IF(M135&lt;=Parameters!$B$3,IF(COUNTIF(Parameters!$A$6:$A$7,E135)&gt;0,"Vehicles","Out of scope"),IF(COUNTIF(Parameters!$C$6:$C$14,E135)&gt;0,"H&amp;H","Out of scope"))</f>
        <v>Vehicles</v>
      </c>
      <c r="P135" s="22" t="n">
        <f aca="false">M135*F135</f>
        <v>56105</v>
      </c>
    </row>
    <row r="136" customFormat="false" ht="15" hidden="false" customHeight="false" outlineLevel="0" collapsed="false">
      <c r="A136" s="10" t="s">
        <v>279</v>
      </c>
      <c r="B136" s="21" t="n">
        <v>45826</v>
      </c>
      <c r="C136" s="10" t="s">
        <v>157</v>
      </c>
      <c r="D136" s="10" t="s">
        <v>75</v>
      </c>
      <c r="E136" s="10" t="n">
        <v>8704</v>
      </c>
      <c r="F136" s="22" t="n">
        <v>34</v>
      </c>
      <c r="G136" s="22" t="n">
        <v>186184</v>
      </c>
      <c r="H136" s="10" t="s">
        <v>29</v>
      </c>
      <c r="I136" s="10" t="str">
        <f aca="false">IFERROR(VLOOKUP(E136,Parameters!$G$6:$H$15,2,FALSE()),"")</f>
        <v>Goods vehicles (trucks)</v>
      </c>
      <c r="J136" s="10" t="str">
        <f aca="false">IFERROR(INDEX(Name_Map!$B$2:$B$102,MATCH(D136,Name_Map!$A$2:$A$102,0)),D136)</f>
        <v>Caribe Motores S.A.S.</v>
      </c>
      <c r="K136" s="22" t="n">
        <f aca="false">IF(F136&gt;0,G136/F136,0)</f>
        <v>5476</v>
      </c>
      <c r="L136" s="10" t="str">
        <f aca="false">IF(AND(COUNTIFS($A$2:$A$307,A136,$E$2:$E$307,E136)&gt;1,COUNTIFS($A$2:$A$307,A136,$E$2:$E$307,E136,$G$2:$G$307,G136)=COUNTIFS($A$2:$A$307,A136,$E$2:$E$307,E136)),"CHECK","OK")</f>
        <v>OK</v>
      </c>
      <c r="M136" s="22" t="n">
        <f aca="false">IF(L136="CHECK",G136/SUMIFS($F$2:$F$307,$A$2:$A$307,A136,$E$2:$E$307,E136),K136)</f>
        <v>5476</v>
      </c>
      <c r="N136" s="10" t="str">
        <f aca="false">IF(COUNTIF(Parameters!$E$6:$E$13,H136)&gt;0,"Yes","No")</f>
        <v>Yes</v>
      </c>
      <c r="O136" s="10" t="str">
        <f aca="false">IF(M136&lt;=Parameters!$B$3,IF(COUNTIF(Parameters!$A$6:$A$7,E136)&gt;0,"Vehicles","Out of scope"),IF(COUNTIF(Parameters!$C$6:$C$14,E136)&gt;0,"H&amp;H","Out of scope"))</f>
        <v>Vehicles</v>
      </c>
      <c r="P136" s="22" t="n">
        <f aca="false">M136*F136</f>
        <v>186184</v>
      </c>
    </row>
    <row r="137" customFormat="false" ht="15" hidden="false" customHeight="false" outlineLevel="0" collapsed="false">
      <c r="A137" s="10" t="s">
        <v>280</v>
      </c>
      <c r="B137" s="21" t="n">
        <v>45827</v>
      </c>
      <c r="C137" s="10" t="s">
        <v>156</v>
      </c>
      <c r="D137" s="10" t="s">
        <v>131</v>
      </c>
      <c r="E137" s="10" t="n">
        <v>8703</v>
      </c>
      <c r="F137" s="22" t="n">
        <v>15</v>
      </c>
      <c r="G137" s="22" t="n">
        <v>33883</v>
      </c>
      <c r="H137" s="10" t="s">
        <v>33</v>
      </c>
      <c r="I137" s="10" t="str">
        <f aca="false">IFERROR(VLOOKUP(E137,Parameters!$G$6:$H$15,2,FALSE()),"")</f>
        <v>Passenger cars</v>
      </c>
      <c r="J137" s="10" t="str">
        <f aca="false">IFERROR(INDEX(Name_Map!$B$2:$B$102,MATCH(D137,Name_Map!$A$2:$A$102,0)),D137)</f>
        <v>Pacifico Autos Ltda.</v>
      </c>
      <c r="K137" s="22" t="n">
        <f aca="false">IF(F137&gt;0,G137/F137,0)</f>
        <v>2258.86666666667</v>
      </c>
      <c r="L137" s="10" t="str">
        <f aca="false">IF(AND(COUNTIFS($A$2:$A$307,A137,$E$2:$E$307,E137)&gt;1,COUNTIFS($A$2:$A$307,A137,$E$2:$E$307,E137,$G$2:$G$307,G137)=COUNTIFS($A$2:$A$307,A137,$E$2:$E$307,E137)),"CHECK","OK")</f>
        <v>OK</v>
      </c>
      <c r="M137" s="22" t="n">
        <f aca="false">IF(L137="CHECK",G137/SUMIFS($F$2:$F$307,$A$2:$A$307,A137,$E$2:$E$307,E137),K137)</f>
        <v>2258.86666666667</v>
      </c>
      <c r="N137" s="10" t="str">
        <f aca="false">IF(COUNTIF(Parameters!$E$6:$E$13,H137)&gt;0,"Yes","No")</f>
        <v>Yes</v>
      </c>
      <c r="O137" s="10" t="str">
        <f aca="false">IF(M137&lt;=Parameters!$B$3,IF(COUNTIF(Parameters!$A$6:$A$7,E137)&gt;0,"Vehicles","Out of scope"),IF(COUNTIF(Parameters!$C$6:$C$14,E137)&gt;0,"H&amp;H","Out of scope"))</f>
        <v>Vehicles</v>
      </c>
      <c r="P137" s="22" t="n">
        <f aca="false">M137*F137</f>
        <v>33883</v>
      </c>
    </row>
    <row r="138" customFormat="false" ht="15" hidden="false" customHeight="false" outlineLevel="0" collapsed="false">
      <c r="A138" s="10" t="s">
        <v>280</v>
      </c>
      <c r="B138" s="21" t="n">
        <v>45827</v>
      </c>
      <c r="C138" s="10" t="s">
        <v>156</v>
      </c>
      <c r="D138" s="10" t="s">
        <v>134</v>
      </c>
      <c r="E138" s="10" t="n">
        <v>8704</v>
      </c>
      <c r="F138" s="22" t="n">
        <v>32</v>
      </c>
      <c r="G138" s="22" t="n">
        <v>134132</v>
      </c>
      <c r="H138" s="10" t="s">
        <v>33</v>
      </c>
      <c r="I138" s="10" t="str">
        <f aca="false">IFERROR(VLOOKUP(E138,Parameters!$G$6:$H$15,2,FALSE()),"")</f>
        <v>Goods vehicles (trucks)</v>
      </c>
      <c r="J138" s="10" t="str">
        <f aca="false">IFERROR(INDEX(Name_Map!$B$2:$B$102,MATCH(D138,Name_Map!$A$2:$A$102,0)),D138)</f>
        <v>Pacifico Autos Ltda.</v>
      </c>
      <c r="K138" s="22" t="n">
        <f aca="false">IF(F138&gt;0,G138/F138,0)</f>
        <v>4191.625</v>
      </c>
      <c r="L138" s="10" t="str">
        <f aca="false">IF(AND(COUNTIFS($A$2:$A$307,A138,$E$2:$E$307,E138)&gt;1,COUNTIFS($A$2:$A$307,A138,$E$2:$E$307,E138,$G$2:$G$307,G138)=COUNTIFS($A$2:$A$307,A138,$E$2:$E$307,E138)),"CHECK","OK")</f>
        <v>OK</v>
      </c>
      <c r="M138" s="22" t="n">
        <f aca="false">IF(L138="CHECK",G138/SUMIFS($F$2:$F$307,$A$2:$A$307,A138,$E$2:$E$307,E138),K138)</f>
        <v>4191.625</v>
      </c>
      <c r="N138" s="10" t="str">
        <f aca="false">IF(COUNTIF(Parameters!$E$6:$E$13,H138)&gt;0,"Yes","No")</f>
        <v>Yes</v>
      </c>
      <c r="O138" s="10" t="str">
        <f aca="false">IF(M138&lt;=Parameters!$B$3,IF(COUNTIF(Parameters!$A$6:$A$7,E138)&gt;0,"Vehicles","Out of scope"),IF(COUNTIF(Parameters!$C$6:$C$14,E138)&gt;0,"H&amp;H","Out of scope"))</f>
        <v>Vehicles</v>
      </c>
      <c r="P138" s="22" t="n">
        <f aca="false">M138*F138</f>
        <v>134132</v>
      </c>
    </row>
    <row r="139" customFormat="false" ht="15" hidden="false" customHeight="false" outlineLevel="0" collapsed="false">
      <c r="A139" s="10" t="s">
        <v>281</v>
      </c>
      <c r="B139" s="21" t="n">
        <v>45827</v>
      </c>
      <c r="C139" s="10" t="s">
        <v>157</v>
      </c>
      <c r="D139" s="10" t="s">
        <v>76</v>
      </c>
      <c r="E139" s="10" t="n">
        <v>8704</v>
      </c>
      <c r="F139" s="22" t="n">
        <v>18</v>
      </c>
      <c r="G139" s="22" t="n">
        <v>45289</v>
      </c>
      <c r="H139" s="10" t="s">
        <v>193</v>
      </c>
      <c r="I139" s="10" t="str">
        <f aca="false">IFERROR(VLOOKUP(E139,Parameters!$G$6:$H$15,2,FALSE()),"")</f>
        <v>Goods vehicles (trucks)</v>
      </c>
      <c r="J139" s="10" t="str">
        <f aca="false">IFERROR(INDEX(Name_Map!$B$2:$B$102,MATCH(D139,Name_Map!$A$2:$A$102,0)),D139)</f>
        <v>Caribe Motores S.A.S.</v>
      </c>
      <c r="K139" s="22" t="n">
        <f aca="false">IF(F139&gt;0,G139/F139,0)</f>
        <v>2516.05555555556</v>
      </c>
      <c r="L139" s="10" t="str">
        <f aca="false">IF(AND(COUNTIFS($A$2:$A$307,A139,$E$2:$E$307,E139)&gt;1,COUNTIFS($A$2:$A$307,A139,$E$2:$E$307,E139,$G$2:$G$307,G139)=COUNTIFS($A$2:$A$307,A139,$E$2:$E$307,E139)),"CHECK","OK")</f>
        <v>OK</v>
      </c>
      <c r="M139" s="22" t="n">
        <f aca="false">IF(L139="CHECK",G139/SUMIFS($F$2:$F$307,$A$2:$A$307,A139,$E$2:$E$307,E139),K139)</f>
        <v>2516.05555555556</v>
      </c>
      <c r="N139" s="10" t="str">
        <f aca="false">IF(COUNTIF(Parameters!$E$6:$E$13,H139)&gt;0,"Yes","No")</f>
        <v>No</v>
      </c>
      <c r="O139" s="10" t="str">
        <f aca="false">IF(M139&lt;=Parameters!$B$3,IF(COUNTIF(Parameters!$A$6:$A$7,E139)&gt;0,"Vehicles","Out of scope"),IF(COUNTIF(Parameters!$C$6:$C$14,E139)&gt;0,"H&amp;H","Out of scope"))</f>
        <v>Vehicles</v>
      </c>
      <c r="P139" s="22" t="n">
        <f aca="false">M139*F139</f>
        <v>45289</v>
      </c>
    </row>
    <row r="140" customFormat="false" ht="15" hidden="false" customHeight="false" outlineLevel="0" collapsed="false">
      <c r="A140" s="10" t="s">
        <v>282</v>
      </c>
      <c r="B140" s="21" t="n">
        <v>45827</v>
      </c>
      <c r="C140" s="10" t="s">
        <v>158</v>
      </c>
      <c r="D140" s="10" t="s">
        <v>122</v>
      </c>
      <c r="E140" s="10" t="n">
        <v>8704</v>
      </c>
      <c r="F140" s="22" t="n">
        <v>31</v>
      </c>
      <c r="G140" s="22" t="n">
        <v>72127</v>
      </c>
      <c r="H140" s="10" t="s">
        <v>182</v>
      </c>
      <c r="I140" s="10" t="str">
        <f aca="false">IFERROR(VLOOKUP(E140,Parameters!$G$6:$H$15,2,FALSE()),"")</f>
        <v>Goods vehicles (trucks)</v>
      </c>
      <c r="J140" s="10" t="str">
        <f aca="false">IFERROR(INDEX(Name_Map!$B$2:$B$102,MATCH(D140,Name_Map!$A$2:$A$102,0)),D140)</f>
        <v>Lima Car Import S.A.C.</v>
      </c>
      <c r="K140" s="22" t="n">
        <f aca="false">IF(F140&gt;0,G140/F140,0)</f>
        <v>2326.67741935484</v>
      </c>
      <c r="L140" s="10" t="str">
        <f aca="false">IF(AND(COUNTIFS($A$2:$A$307,A140,$E$2:$E$307,E140)&gt;1,COUNTIFS($A$2:$A$307,A140,$E$2:$E$307,E140,$G$2:$G$307,G140)=COUNTIFS($A$2:$A$307,A140,$E$2:$E$307,E140)),"CHECK","OK")</f>
        <v>OK</v>
      </c>
      <c r="M140" s="22" t="n">
        <f aca="false">IF(L140="CHECK",G140/SUMIFS($F$2:$F$307,$A$2:$A$307,A140,$E$2:$E$307,E140),K140)</f>
        <v>2326.67741935484</v>
      </c>
      <c r="N140" s="10" t="str">
        <f aca="false">IF(COUNTIF(Parameters!$E$6:$E$13,H140)&gt;0,"Yes","No")</f>
        <v>No</v>
      </c>
      <c r="O140" s="10" t="str">
        <f aca="false">IF(M140&lt;=Parameters!$B$3,IF(COUNTIF(Parameters!$A$6:$A$7,E140)&gt;0,"Vehicles","Out of scope"),IF(COUNTIF(Parameters!$C$6:$C$14,E140)&gt;0,"H&amp;H","Out of scope"))</f>
        <v>Vehicles</v>
      </c>
      <c r="P140" s="22" t="n">
        <f aca="false">M140*F140</f>
        <v>72127</v>
      </c>
    </row>
    <row r="141" customFormat="false" ht="15" hidden="false" customHeight="false" outlineLevel="0" collapsed="false">
      <c r="A141" s="10" t="s">
        <v>283</v>
      </c>
      <c r="B141" s="21" t="n">
        <v>45828</v>
      </c>
      <c r="C141" s="10" t="s">
        <v>158</v>
      </c>
      <c r="D141" s="10" t="s">
        <v>110</v>
      </c>
      <c r="E141" s="10" t="n">
        <v>8703</v>
      </c>
      <c r="F141" s="22" t="n">
        <v>33</v>
      </c>
      <c r="G141" s="22" t="n">
        <v>57471</v>
      </c>
      <c r="H141" s="10" t="s">
        <v>29</v>
      </c>
      <c r="I141" s="10" t="str">
        <f aca="false">IFERROR(VLOOKUP(E141,Parameters!$G$6:$H$15,2,FALSE()),"")</f>
        <v>Passenger cars</v>
      </c>
      <c r="J141" s="10" t="str">
        <f aca="false">IFERROR(INDEX(Name_Map!$B$2:$B$102,MATCH(D141,Name_Map!$A$2:$A$102,0)),D141)</f>
        <v>Inca Automotriz S.A.C.</v>
      </c>
      <c r="K141" s="22" t="n">
        <f aca="false">IF(F141&gt;0,G141/F141,0)</f>
        <v>1741.54545454545</v>
      </c>
      <c r="L141" s="10" t="str">
        <f aca="false">IF(AND(COUNTIFS($A$2:$A$307,A141,$E$2:$E$307,E141)&gt;1,COUNTIFS($A$2:$A$307,A141,$E$2:$E$307,E141,$G$2:$G$307,G141)=COUNTIFS($A$2:$A$307,A141,$E$2:$E$307,E141)),"CHECK","OK")</f>
        <v>OK</v>
      </c>
      <c r="M141" s="22" t="n">
        <f aca="false">IF(L141="CHECK",G141/SUMIFS($F$2:$F$307,$A$2:$A$307,A141,$E$2:$E$307,E141),K141)</f>
        <v>1741.54545454545</v>
      </c>
      <c r="N141" s="10" t="str">
        <f aca="false">IF(COUNTIF(Parameters!$E$6:$E$13,H141)&gt;0,"Yes","No")</f>
        <v>Yes</v>
      </c>
      <c r="O141" s="10" t="str">
        <f aca="false">IF(M141&lt;=Parameters!$B$3,IF(COUNTIF(Parameters!$A$6:$A$7,E141)&gt;0,"Vehicles","Out of scope"),IF(COUNTIF(Parameters!$C$6:$C$14,E141)&gt;0,"H&amp;H","Out of scope"))</f>
        <v>Vehicles</v>
      </c>
      <c r="P141" s="22" t="n">
        <f aca="false">M141*F141</f>
        <v>57471</v>
      </c>
    </row>
    <row r="142" customFormat="false" ht="15" hidden="false" customHeight="false" outlineLevel="0" collapsed="false">
      <c r="A142" s="10" t="s">
        <v>284</v>
      </c>
      <c r="B142" s="21" t="n">
        <v>45833</v>
      </c>
      <c r="C142" s="10" t="s">
        <v>160</v>
      </c>
      <c r="D142" s="10" t="s">
        <v>52</v>
      </c>
      <c r="E142" s="10" t="n">
        <v>8705</v>
      </c>
      <c r="F142" s="22" t="n">
        <v>2</v>
      </c>
      <c r="G142" s="22" t="n">
        <v>70162</v>
      </c>
      <c r="H142" s="10" t="s">
        <v>35</v>
      </c>
      <c r="I142" s="10" t="str">
        <f aca="false">IFERROR(VLOOKUP(E142,Parameters!$G$6:$H$15,2,FALSE()),"")</f>
        <v>Special-purpose vehicles</v>
      </c>
      <c r="J142" s="10" t="str">
        <f aca="false">IFERROR(INDEX(Name_Map!$B$2:$B$102,MATCH(D142,Name_Map!$A$2:$A$102,0)),D142)</f>
        <v>Antillas Cargo Logistics S.R.L.</v>
      </c>
      <c r="K142" s="22" t="n">
        <f aca="false">IF(F142&gt;0,G142/F142,0)</f>
        <v>35081</v>
      </c>
      <c r="L142" s="10" t="str">
        <f aca="false">IF(AND(COUNTIFS($A$2:$A$307,A142,$E$2:$E$307,E142)&gt;1,COUNTIFS($A$2:$A$307,A142,$E$2:$E$307,E142,$G$2:$G$307,G142)=COUNTIFS($A$2:$A$307,A142,$E$2:$E$307,E142)),"CHECK","OK")</f>
        <v>OK</v>
      </c>
      <c r="M142" s="22" t="n">
        <f aca="false">IF(L142="CHECK",G142/SUMIFS($F$2:$F$307,$A$2:$A$307,A142,$E$2:$E$307,E142),K142)</f>
        <v>35081</v>
      </c>
      <c r="N142" s="10" t="str">
        <f aca="false">IF(COUNTIF(Parameters!$E$6:$E$13,H142)&gt;0,"Yes","No")</f>
        <v>Yes</v>
      </c>
      <c r="O142" s="10" t="str">
        <f aca="false">IF(M142&lt;=Parameters!$B$3,IF(COUNTIF(Parameters!$A$6:$A$7,E142)&gt;0,"Vehicles","Out of scope"),IF(COUNTIF(Parameters!$C$6:$C$14,E142)&gt;0,"H&amp;H","Out of scope"))</f>
        <v>H&amp;H</v>
      </c>
      <c r="P142" s="22" t="n">
        <f aca="false">M142*F142</f>
        <v>70162</v>
      </c>
    </row>
    <row r="143" customFormat="false" ht="15" hidden="false" customHeight="false" outlineLevel="0" collapsed="false">
      <c r="A143" s="10" t="s">
        <v>285</v>
      </c>
      <c r="B143" s="21" t="n">
        <v>45834</v>
      </c>
      <c r="C143" s="10" t="s">
        <v>157</v>
      </c>
      <c r="D143" s="10" t="s">
        <v>89</v>
      </c>
      <c r="E143" s="10" t="n">
        <v>8704</v>
      </c>
      <c r="F143" s="22" t="n">
        <v>9</v>
      </c>
      <c r="G143" s="22" t="n">
        <v>48219</v>
      </c>
      <c r="H143" s="10" t="s">
        <v>180</v>
      </c>
      <c r="I143" s="10" t="str">
        <f aca="false">IFERROR(VLOOKUP(E143,Parameters!$G$6:$H$15,2,FALSE()),"")</f>
        <v>Goods vehicles (trucks)</v>
      </c>
      <c r="J143" s="10" t="str">
        <f aca="false">IFERROR(INDEX(Name_Map!$B$2:$B$102,MATCH(D143,Name_Map!$A$2:$A$102,0)),D143)</f>
        <v>Caribe Motores S.A.S.</v>
      </c>
      <c r="K143" s="22" t="n">
        <f aca="false">IF(F143&gt;0,G143/F143,0)</f>
        <v>5357.66666666667</v>
      </c>
      <c r="L143" s="10" t="str">
        <f aca="false">IF(AND(COUNTIFS($A$2:$A$307,A143,$E$2:$E$307,E143)&gt;1,COUNTIFS($A$2:$A$307,A143,$E$2:$E$307,E143,$G$2:$G$307,G143)=COUNTIFS($A$2:$A$307,A143,$E$2:$E$307,E143)),"CHECK","OK")</f>
        <v>OK</v>
      </c>
      <c r="M143" s="22" t="n">
        <f aca="false">IF(L143="CHECK",G143/SUMIFS($F$2:$F$307,$A$2:$A$307,A143,$E$2:$E$307,E143),K143)</f>
        <v>5357.66666666667</v>
      </c>
      <c r="N143" s="10" t="str">
        <f aca="false">IF(COUNTIF(Parameters!$E$6:$E$13,H143)&gt;0,"Yes","No")</f>
        <v>No</v>
      </c>
      <c r="O143" s="10" t="str">
        <f aca="false">IF(M143&lt;=Parameters!$B$3,IF(COUNTIF(Parameters!$A$6:$A$7,E143)&gt;0,"Vehicles","Out of scope"),IF(COUNTIF(Parameters!$C$6:$C$14,E143)&gt;0,"H&amp;H","Out of scope"))</f>
        <v>Vehicles</v>
      </c>
      <c r="P143" s="22" t="n">
        <f aca="false">M143*F143</f>
        <v>48219</v>
      </c>
    </row>
    <row r="144" customFormat="false" ht="15" hidden="false" customHeight="false" outlineLevel="0" collapsed="false">
      <c r="A144" s="10" t="s">
        <v>285</v>
      </c>
      <c r="B144" s="21" t="n">
        <v>45834</v>
      </c>
      <c r="C144" s="10" t="s">
        <v>157</v>
      </c>
      <c r="D144" s="10" t="s">
        <v>76</v>
      </c>
      <c r="E144" s="10" t="n">
        <v>8703</v>
      </c>
      <c r="F144" s="22" t="n">
        <v>4</v>
      </c>
      <c r="G144" s="22" t="n">
        <v>8240</v>
      </c>
      <c r="H144" s="10" t="s">
        <v>180</v>
      </c>
      <c r="I144" s="10" t="str">
        <f aca="false">IFERROR(VLOOKUP(E144,Parameters!$G$6:$H$15,2,FALSE()),"")</f>
        <v>Passenger cars</v>
      </c>
      <c r="J144" s="10" t="str">
        <f aca="false">IFERROR(INDEX(Name_Map!$B$2:$B$102,MATCH(D144,Name_Map!$A$2:$A$102,0)),D144)</f>
        <v>Caribe Motores S.A.S.</v>
      </c>
      <c r="K144" s="22" t="n">
        <f aca="false">IF(F144&gt;0,G144/F144,0)</f>
        <v>2060</v>
      </c>
      <c r="L144" s="10" t="str">
        <f aca="false">IF(AND(COUNTIFS($A$2:$A$307,A144,$E$2:$E$307,E144)&gt;1,COUNTIFS($A$2:$A$307,A144,$E$2:$E$307,E144,$G$2:$G$307,G144)=COUNTIFS($A$2:$A$307,A144,$E$2:$E$307,E144)),"CHECK","OK")</f>
        <v>OK</v>
      </c>
      <c r="M144" s="22" t="n">
        <f aca="false">IF(L144="CHECK",G144/SUMIFS($F$2:$F$307,$A$2:$A$307,A144,$E$2:$E$307,E144),K144)</f>
        <v>2060</v>
      </c>
      <c r="N144" s="10" t="str">
        <f aca="false">IF(COUNTIF(Parameters!$E$6:$E$13,H144)&gt;0,"Yes","No")</f>
        <v>No</v>
      </c>
      <c r="O144" s="10" t="str">
        <f aca="false">IF(M144&lt;=Parameters!$B$3,IF(COUNTIF(Parameters!$A$6:$A$7,E144)&gt;0,"Vehicles","Out of scope"),IF(COUNTIF(Parameters!$C$6:$C$14,E144)&gt;0,"H&amp;H","Out of scope"))</f>
        <v>Vehicles</v>
      </c>
      <c r="P144" s="22" t="n">
        <f aca="false">M144*F144</f>
        <v>8240</v>
      </c>
    </row>
    <row r="145" customFormat="false" ht="15" hidden="false" customHeight="false" outlineLevel="0" collapsed="false">
      <c r="A145" s="10" t="s">
        <v>286</v>
      </c>
      <c r="B145" s="21" t="n">
        <v>45834</v>
      </c>
      <c r="C145" s="10" t="s">
        <v>161</v>
      </c>
      <c r="D145" s="10" t="s">
        <v>113</v>
      </c>
      <c r="E145" s="10" t="n">
        <v>8703</v>
      </c>
      <c r="F145" s="22" t="n">
        <v>4</v>
      </c>
      <c r="G145" s="22" t="n">
        <v>6965</v>
      </c>
      <c r="H145" s="10" t="s">
        <v>186</v>
      </c>
      <c r="I145" s="10" t="str">
        <f aca="false">IFERROR(VLOOKUP(E145,Parameters!$G$6:$H$15,2,FALSE()),"")</f>
        <v>Passenger cars</v>
      </c>
      <c r="J145" s="10" t="str">
        <f aca="false">IFERROR(INDEX(Name_Map!$B$2:$B$102,MATCH(D145,Name_Map!$A$2:$A$102,0)),D145)</f>
        <v>Istmo Motors S.A.</v>
      </c>
      <c r="K145" s="22" t="n">
        <f aca="false">IF(F145&gt;0,G145/F145,0)</f>
        <v>1741.25</v>
      </c>
      <c r="L145" s="10" t="str">
        <f aca="false">IF(AND(COUNTIFS($A$2:$A$307,A145,$E$2:$E$307,E145)&gt;1,COUNTIFS($A$2:$A$307,A145,$E$2:$E$307,E145,$G$2:$G$307,G145)=COUNTIFS($A$2:$A$307,A145,$E$2:$E$307,E145)),"CHECK","OK")</f>
        <v>OK</v>
      </c>
      <c r="M145" s="22" t="n">
        <f aca="false">IF(L145="CHECK",G145/SUMIFS($F$2:$F$307,$A$2:$A$307,A145,$E$2:$E$307,E145),K145)</f>
        <v>1741.25</v>
      </c>
      <c r="N145" s="10" t="str">
        <f aca="false">IF(COUNTIF(Parameters!$E$6:$E$13,H145)&gt;0,"Yes","No")</f>
        <v>No</v>
      </c>
      <c r="O145" s="10" t="str">
        <f aca="false">IF(M145&lt;=Parameters!$B$3,IF(COUNTIF(Parameters!$A$6:$A$7,E145)&gt;0,"Vehicles","Out of scope"),IF(COUNTIF(Parameters!$C$6:$C$14,E145)&gt;0,"H&amp;H","Out of scope"))</f>
        <v>Vehicles</v>
      </c>
      <c r="P145" s="22" t="n">
        <f aca="false">M145*F145</f>
        <v>6965</v>
      </c>
    </row>
    <row r="146" customFormat="false" ht="15" hidden="false" customHeight="false" outlineLevel="0" collapsed="false">
      <c r="A146" s="10" t="s">
        <v>287</v>
      </c>
      <c r="B146" s="21" t="n">
        <v>45836</v>
      </c>
      <c r="C146" s="10" t="s">
        <v>156</v>
      </c>
      <c r="D146" s="10" t="s">
        <v>54</v>
      </c>
      <c r="E146" s="10" t="n">
        <v>8704</v>
      </c>
      <c r="F146" s="22" t="n">
        <v>4</v>
      </c>
      <c r="G146" s="22" t="n">
        <v>246511</v>
      </c>
      <c r="H146" s="10" t="s">
        <v>223</v>
      </c>
      <c r="I146" s="10" t="str">
        <f aca="false">IFERROR(VLOOKUP(E146,Parameters!$G$6:$H$15,2,FALSE()),"")</f>
        <v>Goods vehicles (trucks)</v>
      </c>
      <c r="J146" s="10" t="str">
        <f aca="false">IFERROR(INDEX(Name_Map!$B$2:$B$102,MATCH(D146,Name_Map!$A$2:$A$102,0)),D146)</f>
        <v>Atacama Equipos Mineros S.A.</v>
      </c>
      <c r="K146" s="22" t="n">
        <f aca="false">IF(F146&gt;0,G146/F146,0)</f>
        <v>61627.75</v>
      </c>
      <c r="L146" s="10" t="str">
        <f aca="false">IF(AND(COUNTIFS($A$2:$A$307,A146,$E$2:$E$307,E146)&gt;1,COUNTIFS($A$2:$A$307,A146,$E$2:$E$307,E146,$G$2:$G$307,G146)=COUNTIFS($A$2:$A$307,A146,$E$2:$E$307,E146)),"CHECK","OK")</f>
        <v>OK</v>
      </c>
      <c r="M146" s="22" t="n">
        <f aca="false">IF(L146="CHECK",G146/SUMIFS($F$2:$F$307,$A$2:$A$307,A146,$E$2:$E$307,E146),K146)</f>
        <v>61627.75</v>
      </c>
      <c r="N146" s="10" t="str">
        <f aca="false">IF(COUNTIF(Parameters!$E$6:$E$13,H146)&gt;0,"Yes","No")</f>
        <v>No</v>
      </c>
      <c r="O146" s="10" t="str">
        <f aca="false">IF(M146&lt;=Parameters!$B$3,IF(COUNTIF(Parameters!$A$6:$A$7,E146)&gt;0,"Vehicles","Out of scope"),IF(COUNTIF(Parameters!$C$6:$C$14,E146)&gt;0,"H&amp;H","Out of scope"))</f>
        <v>H&amp;H</v>
      </c>
      <c r="P146" s="22" t="n">
        <f aca="false">M146*F146</f>
        <v>246511</v>
      </c>
    </row>
    <row r="147" customFormat="false" ht="15" hidden="false" customHeight="false" outlineLevel="0" collapsed="false">
      <c r="A147" s="10" t="s">
        <v>288</v>
      </c>
      <c r="B147" s="21" t="n">
        <v>45841</v>
      </c>
      <c r="C147" s="10" t="s">
        <v>156</v>
      </c>
      <c r="D147" s="10" t="s">
        <v>131</v>
      </c>
      <c r="E147" s="10" t="n">
        <v>8704</v>
      </c>
      <c r="F147" s="22" t="n">
        <v>31</v>
      </c>
      <c r="G147" s="22" t="n">
        <v>204400</v>
      </c>
      <c r="H147" s="10" t="s">
        <v>186</v>
      </c>
      <c r="I147" s="10" t="str">
        <f aca="false">IFERROR(VLOOKUP(E147,Parameters!$G$6:$H$15,2,FALSE()),"")</f>
        <v>Goods vehicles (trucks)</v>
      </c>
      <c r="J147" s="10" t="str">
        <f aca="false">IFERROR(INDEX(Name_Map!$B$2:$B$102,MATCH(D147,Name_Map!$A$2:$A$102,0)),D147)</f>
        <v>Pacifico Autos Ltda.</v>
      </c>
      <c r="K147" s="22" t="n">
        <f aca="false">IF(F147&gt;0,G147/F147,0)</f>
        <v>6593.54838709678</v>
      </c>
      <c r="L147" s="10" t="str">
        <f aca="false">IF(AND(COUNTIFS($A$2:$A$307,A147,$E$2:$E$307,E147)&gt;1,COUNTIFS($A$2:$A$307,A147,$E$2:$E$307,E147,$G$2:$G$307,G147)=COUNTIFS($A$2:$A$307,A147,$E$2:$E$307,E147)),"CHECK","OK")</f>
        <v>OK</v>
      </c>
      <c r="M147" s="22" t="n">
        <f aca="false">IF(L147="CHECK",G147/SUMIFS($F$2:$F$307,$A$2:$A$307,A147,$E$2:$E$307,E147),K147)</f>
        <v>6593.54838709678</v>
      </c>
      <c r="N147" s="10" t="str">
        <f aca="false">IF(COUNTIF(Parameters!$E$6:$E$13,H147)&gt;0,"Yes","No")</f>
        <v>No</v>
      </c>
      <c r="O147" s="10" t="str">
        <f aca="false">IF(M147&lt;=Parameters!$B$3,IF(COUNTIF(Parameters!$A$6:$A$7,E147)&gt;0,"Vehicles","Out of scope"),IF(COUNTIF(Parameters!$C$6:$C$14,E147)&gt;0,"H&amp;H","Out of scope"))</f>
        <v>Vehicles</v>
      </c>
      <c r="P147" s="22" t="n">
        <f aca="false">M147*F147</f>
        <v>204400</v>
      </c>
    </row>
    <row r="148" customFormat="false" ht="15" hidden="false" customHeight="false" outlineLevel="0" collapsed="false">
      <c r="A148" s="10" t="s">
        <v>289</v>
      </c>
      <c r="B148" s="21" t="n">
        <v>45841</v>
      </c>
      <c r="C148" s="10" t="s">
        <v>156</v>
      </c>
      <c r="D148" s="10" t="s">
        <v>56</v>
      </c>
      <c r="E148" s="10" t="n">
        <v>8427</v>
      </c>
      <c r="F148" s="22" t="n">
        <v>4</v>
      </c>
      <c r="G148" s="22" t="n">
        <v>102542</v>
      </c>
      <c r="H148" s="10" t="s">
        <v>33</v>
      </c>
      <c r="I148" s="10" t="str">
        <f aca="false">IFERROR(VLOOKUP(E148,Parameters!$G$6:$H$15,2,FALSE()),"")</f>
        <v>Forklift trucks</v>
      </c>
      <c r="J148" s="10" t="str">
        <f aca="false">IFERROR(INDEX(Name_Map!$B$2:$B$102,MATCH(D148,Name_Map!$A$2:$A$102,0)),D148)</f>
        <v>Austral Truck Center SpA</v>
      </c>
      <c r="K148" s="22" t="n">
        <f aca="false">IF(F148&gt;0,G148/F148,0)</f>
        <v>25635.5</v>
      </c>
      <c r="L148" s="10" t="str">
        <f aca="false">IF(AND(COUNTIFS($A$2:$A$307,A148,$E$2:$E$307,E148)&gt;1,COUNTIFS($A$2:$A$307,A148,$E$2:$E$307,E148,$G$2:$G$307,G148)=COUNTIFS($A$2:$A$307,A148,$E$2:$E$307,E148)),"CHECK","OK")</f>
        <v>OK</v>
      </c>
      <c r="M148" s="22" t="n">
        <f aca="false">IF(L148="CHECK",G148/SUMIFS($F$2:$F$307,$A$2:$A$307,A148,$E$2:$E$307,E148),K148)</f>
        <v>25635.5</v>
      </c>
      <c r="N148" s="10" t="str">
        <f aca="false">IF(COUNTIF(Parameters!$E$6:$E$13,H148)&gt;0,"Yes","No")</f>
        <v>Yes</v>
      </c>
      <c r="O148" s="10" t="str">
        <f aca="false">IF(M148&lt;=Parameters!$B$3,IF(COUNTIF(Parameters!$A$6:$A$7,E148)&gt;0,"Vehicles","Out of scope"),IF(COUNTIF(Parameters!$C$6:$C$14,E148)&gt;0,"H&amp;H","Out of scope"))</f>
        <v>H&amp;H</v>
      </c>
      <c r="P148" s="22" t="n">
        <f aca="false">M148*F148</f>
        <v>102542</v>
      </c>
    </row>
    <row r="149" customFormat="false" ht="15" hidden="false" customHeight="false" outlineLevel="0" collapsed="false">
      <c r="A149" s="10" t="s">
        <v>290</v>
      </c>
      <c r="B149" s="21" t="n">
        <v>45841</v>
      </c>
      <c r="C149" s="10" t="s">
        <v>161</v>
      </c>
      <c r="D149" s="10" t="s">
        <v>94</v>
      </c>
      <c r="E149" s="10" t="n">
        <v>8702</v>
      </c>
      <c r="F149" s="22" t="n">
        <v>4</v>
      </c>
      <c r="G149" s="22" t="n">
        <v>145991</v>
      </c>
      <c r="H149" s="10" t="s">
        <v>37</v>
      </c>
      <c r="I149" s="10" t="str">
        <f aca="false">IFERROR(VLOOKUP(E149,Parameters!$G$6:$H$15,2,FALSE()),"")</f>
        <v>Buses</v>
      </c>
      <c r="J149" s="10" t="str">
        <f aca="false">IFERROR(INDEX(Name_Map!$B$2:$B$102,MATCH(D149,Name_Map!$A$2:$A$102,0)),D149)</f>
        <v>Colon Free Zone Traders S.A.</v>
      </c>
      <c r="K149" s="22" t="n">
        <f aca="false">IF(F149&gt;0,G149/F149,0)</f>
        <v>36497.75</v>
      </c>
      <c r="L149" s="10" t="str">
        <f aca="false">IF(AND(COUNTIFS($A$2:$A$307,A149,$E$2:$E$307,E149)&gt;1,COUNTIFS($A$2:$A$307,A149,$E$2:$E$307,E149,$G$2:$G$307,G149)=COUNTIFS($A$2:$A$307,A149,$E$2:$E$307,E149)),"CHECK","OK")</f>
        <v>OK</v>
      </c>
      <c r="M149" s="22" t="n">
        <f aca="false">IF(L149="CHECK",G149/SUMIFS($F$2:$F$307,$A$2:$A$307,A149,$E$2:$E$307,E149),K149)</f>
        <v>36497.75</v>
      </c>
      <c r="N149" s="10" t="str">
        <f aca="false">IF(COUNTIF(Parameters!$E$6:$E$13,H149)&gt;0,"Yes","No")</f>
        <v>Yes</v>
      </c>
      <c r="O149" s="10" t="str">
        <f aca="false">IF(M149&lt;=Parameters!$B$3,IF(COUNTIF(Parameters!$A$6:$A$7,E149)&gt;0,"Vehicles","Out of scope"),IF(COUNTIF(Parameters!$C$6:$C$14,E149)&gt;0,"H&amp;H","Out of scope"))</f>
        <v>H&amp;H</v>
      </c>
      <c r="P149" s="22" t="n">
        <f aca="false">M149*F149</f>
        <v>145991</v>
      </c>
    </row>
    <row r="150" customFormat="false" ht="15" hidden="false" customHeight="false" outlineLevel="0" collapsed="false">
      <c r="A150" s="10" t="s">
        <v>291</v>
      </c>
      <c r="B150" s="21" t="n">
        <v>45841</v>
      </c>
      <c r="C150" s="10" t="s">
        <v>158</v>
      </c>
      <c r="D150" s="10" t="s">
        <v>114</v>
      </c>
      <c r="E150" s="10" t="n">
        <v>8703</v>
      </c>
      <c r="F150" s="22" t="n">
        <v>38</v>
      </c>
      <c r="G150" s="22" t="n">
        <v>96769</v>
      </c>
      <c r="H150" s="10" t="s">
        <v>31</v>
      </c>
      <c r="I150" s="10" t="str">
        <f aca="false">IFERROR(VLOOKUP(E150,Parameters!$G$6:$H$15,2,FALSE()),"")</f>
        <v>Passenger cars</v>
      </c>
      <c r="J150" s="10" t="str">
        <f aca="false">IFERROR(INDEX(Name_Map!$B$2:$B$102,MATCH(D150,Name_Map!$A$2:$A$102,0)),D150)</f>
        <v>Inca Automotriz S.A.C.</v>
      </c>
      <c r="K150" s="22" t="n">
        <f aca="false">IF(F150&gt;0,G150/F150,0)</f>
        <v>2546.55263157895</v>
      </c>
      <c r="L150" s="10" t="str">
        <f aca="false">IF(AND(COUNTIFS($A$2:$A$307,A150,$E$2:$E$307,E150)&gt;1,COUNTIFS($A$2:$A$307,A150,$E$2:$E$307,E150,$G$2:$G$307,G150)=COUNTIFS($A$2:$A$307,A150,$E$2:$E$307,E150)),"CHECK","OK")</f>
        <v>OK</v>
      </c>
      <c r="M150" s="22" t="n">
        <f aca="false">IF(L150="CHECK",G150/SUMIFS($F$2:$F$307,$A$2:$A$307,A150,$E$2:$E$307,E150),K150)</f>
        <v>2546.55263157895</v>
      </c>
      <c r="N150" s="10" t="str">
        <f aca="false">IF(COUNTIF(Parameters!$E$6:$E$13,H150)&gt;0,"Yes","No")</f>
        <v>Yes</v>
      </c>
      <c r="O150" s="10" t="str">
        <f aca="false">IF(M150&lt;=Parameters!$B$3,IF(COUNTIF(Parameters!$A$6:$A$7,E150)&gt;0,"Vehicles","Out of scope"),IF(COUNTIF(Parameters!$C$6:$C$14,E150)&gt;0,"H&amp;H","Out of scope"))</f>
        <v>Vehicles</v>
      </c>
      <c r="P150" s="22" t="n">
        <f aca="false">M150*F150</f>
        <v>96769</v>
      </c>
    </row>
    <row r="151" customFormat="false" ht="15" hidden="false" customHeight="false" outlineLevel="0" collapsed="false">
      <c r="A151" s="10" t="s">
        <v>291</v>
      </c>
      <c r="B151" s="21" t="n">
        <v>45841</v>
      </c>
      <c r="C151" s="10" t="s">
        <v>158</v>
      </c>
      <c r="D151" s="10" t="s">
        <v>115</v>
      </c>
      <c r="E151" s="10" t="n">
        <v>8703</v>
      </c>
      <c r="F151" s="22" t="n">
        <v>7</v>
      </c>
      <c r="G151" s="22" t="n">
        <v>16865</v>
      </c>
      <c r="H151" s="10" t="s">
        <v>31</v>
      </c>
      <c r="I151" s="10" t="str">
        <f aca="false">IFERROR(VLOOKUP(E151,Parameters!$G$6:$H$15,2,FALSE()),"")</f>
        <v>Passenger cars</v>
      </c>
      <c r="J151" s="10" t="str">
        <f aca="false">IFERROR(INDEX(Name_Map!$B$2:$B$102,MATCH(D151,Name_Map!$A$2:$A$102,0)),D151)</f>
        <v>Inca Automotriz S.A.C.</v>
      </c>
      <c r="K151" s="22" t="n">
        <f aca="false">IF(F151&gt;0,G151/F151,0)</f>
        <v>2409.28571428571</v>
      </c>
      <c r="L151" s="10" t="str">
        <f aca="false">IF(AND(COUNTIFS($A$2:$A$307,A151,$E$2:$E$307,E151)&gt;1,COUNTIFS($A$2:$A$307,A151,$E$2:$E$307,E151,$G$2:$G$307,G151)=COUNTIFS($A$2:$A$307,A151,$E$2:$E$307,E151)),"CHECK","OK")</f>
        <v>OK</v>
      </c>
      <c r="M151" s="22" t="n">
        <f aca="false">IF(L151="CHECK",G151/SUMIFS($F$2:$F$307,$A$2:$A$307,A151,$E$2:$E$307,E151),K151)</f>
        <v>2409.28571428571</v>
      </c>
      <c r="N151" s="10" t="str">
        <f aca="false">IF(COUNTIF(Parameters!$E$6:$E$13,H151)&gt;0,"Yes","No")</f>
        <v>Yes</v>
      </c>
      <c r="O151" s="10" t="str">
        <f aca="false">IF(M151&lt;=Parameters!$B$3,IF(COUNTIF(Parameters!$A$6:$A$7,E151)&gt;0,"Vehicles","Out of scope"),IF(COUNTIF(Parameters!$C$6:$C$14,E151)&gt;0,"H&amp;H","Out of scope"))</f>
        <v>Vehicles</v>
      </c>
      <c r="P151" s="22" t="n">
        <f aca="false">M151*F151</f>
        <v>16865</v>
      </c>
    </row>
    <row r="152" customFormat="false" ht="15" hidden="false" customHeight="false" outlineLevel="0" collapsed="false">
      <c r="A152" s="10" t="s">
        <v>292</v>
      </c>
      <c r="B152" s="21" t="n">
        <v>45846</v>
      </c>
      <c r="C152" s="10" t="s">
        <v>159</v>
      </c>
      <c r="D152" s="10" t="s">
        <v>99</v>
      </c>
      <c r="E152" s="10" t="n">
        <v>8704</v>
      </c>
      <c r="F152" s="22" t="n">
        <v>34</v>
      </c>
      <c r="G152" s="22" t="n">
        <v>181936</v>
      </c>
      <c r="H152" s="10" t="s">
        <v>193</v>
      </c>
      <c r="I152" s="10" t="str">
        <f aca="false">IFERROR(VLOOKUP(E152,Parameters!$G$6:$H$15,2,FALSE()),"")</f>
        <v>Goods vehicles (trucks)</v>
      </c>
      <c r="J152" s="10" t="str">
        <f aca="false">IFERROR(INDEX(Name_Map!$B$2:$B$102,MATCH(D152,Name_Map!$A$2:$A$102,0)),D152)</f>
        <v>Ecuamotors Cia. Ltda.</v>
      </c>
      <c r="K152" s="22" t="n">
        <f aca="false">IF(F152&gt;0,G152/F152,0)</f>
        <v>5351.05882352941</v>
      </c>
      <c r="L152" s="10" t="str">
        <f aca="false">IF(AND(COUNTIFS($A$2:$A$307,A152,$E$2:$E$307,E152)&gt;1,COUNTIFS($A$2:$A$307,A152,$E$2:$E$307,E152,$G$2:$G$307,G152)=COUNTIFS($A$2:$A$307,A152,$E$2:$E$307,E152)),"CHECK","OK")</f>
        <v>OK</v>
      </c>
      <c r="M152" s="22" t="n">
        <f aca="false">IF(L152="CHECK",G152/SUMIFS($F$2:$F$307,$A$2:$A$307,A152,$E$2:$E$307,E152),K152)</f>
        <v>5351.05882352941</v>
      </c>
      <c r="N152" s="10" t="str">
        <f aca="false">IF(COUNTIF(Parameters!$E$6:$E$13,H152)&gt;0,"Yes","No")</f>
        <v>No</v>
      </c>
      <c r="O152" s="10" t="str">
        <f aca="false">IF(M152&lt;=Parameters!$B$3,IF(COUNTIF(Parameters!$A$6:$A$7,E152)&gt;0,"Vehicles","Out of scope"),IF(COUNTIF(Parameters!$C$6:$C$14,E152)&gt;0,"H&amp;H","Out of scope"))</f>
        <v>Vehicles</v>
      </c>
      <c r="P152" s="22" t="n">
        <f aca="false">M152*F152</f>
        <v>181936</v>
      </c>
    </row>
    <row r="153" customFormat="false" ht="15" hidden="false" customHeight="false" outlineLevel="0" collapsed="false">
      <c r="A153" s="10" t="s">
        <v>292</v>
      </c>
      <c r="B153" s="21" t="n">
        <v>45846</v>
      </c>
      <c r="C153" s="10" t="s">
        <v>159</v>
      </c>
      <c r="D153" s="10" t="s">
        <v>103</v>
      </c>
      <c r="E153" s="10" t="n">
        <v>8704</v>
      </c>
      <c r="F153" s="22" t="n">
        <v>4</v>
      </c>
      <c r="G153" s="22" t="n">
        <v>23609</v>
      </c>
      <c r="H153" s="10" t="s">
        <v>193</v>
      </c>
      <c r="I153" s="10" t="str">
        <f aca="false">IFERROR(VLOOKUP(E153,Parameters!$G$6:$H$15,2,FALSE()),"")</f>
        <v>Goods vehicles (trucks)</v>
      </c>
      <c r="J153" s="10" t="str">
        <f aca="false">IFERROR(INDEX(Name_Map!$B$2:$B$102,MATCH(D153,Name_Map!$A$2:$A$102,0)),D153)</f>
        <v>Ecuamotors Cia. Ltda.</v>
      </c>
      <c r="K153" s="22" t="n">
        <f aca="false">IF(F153&gt;0,G153/F153,0)</f>
        <v>5902.25</v>
      </c>
      <c r="L153" s="10" t="str">
        <f aca="false">IF(AND(COUNTIFS($A$2:$A$307,A153,$E$2:$E$307,E153)&gt;1,COUNTIFS($A$2:$A$307,A153,$E$2:$E$307,E153,$G$2:$G$307,G153)=COUNTIFS($A$2:$A$307,A153,$E$2:$E$307,E153)),"CHECK","OK")</f>
        <v>OK</v>
      </c>
      <c r="M153" s="22" t="n">
        <f aca="false">IF(L153="CHECK",G153/SUMIFS($F$2:$F$307,$A$2:$A$307,A153,$E$2:$E$307,E153),K153)</f>
        <v>5902.25</v>
      </c>
      <c r="N153" s="10" t="str">
        <f aca="false">IF(COUNTIF(Parameters!$E$6:$E$13,H153)&gt;0,"Yes","No")</f>
        <v>No</v>
      </c>
      <c r="O153" s="10" t="str">
        <f aca="false">IF(M153&lt;=Parameters!$B$3,IF(COUNTIF(Parameters!$A$6:$A$7,E153)&gt;0,"Vehicles","Out of scope"),IF(COUNTIF(Parameters!$C$6:$C$14,E153)&gt;0,"H&amp;H","Out of scope"))</f>
        <v>Vehicles</v>
      </c>
      <c r="P153" s="22" t="n">
        <f aca="false">M153*F153</f>
        <v>23609</v>
      </c>
    </row>
    <row r="154" customFormat="false" ht="15" hidden="false" customHeight="false" outlineLevel="0" collapsed="false">
      <c r="A154" s="10" t="s">
        <v>293</v>
      </c>
      <c r="B154" s="21" t="n">
        <v>45847</v>
      </c>
      <c r="C154" s="10" t="s">
        <v>156</v>
      </c>
      <c r="D154" s="10" t="s">
        <v>55</v>
      </c>
      <c r="E154" s="10" t="n">
        <v>8704</v>
      </c>
      <c r="F154" s="22" t="n">
        <v>6</v>
      </c>
      <c r="G154" s="22" t="n">
        <v>43208</v>
      </c>
      <c r="H154" s="10" t="s">
        <v>35</v>
      </c>
      <c r="I154" s="10" t="str">
        <f aca="false">IFERROR(VLOOKUP(E154,Parameters!$G$6:$H$15,2,FALSE()),"")</f>
        <v>Goods vehicles (trucks)</v>
      </c>
      <c r="J154" s="10" t="str">
        <f aca="false">IFERROR(INDEX(Name_Map!$B$2:$B$102,MATCH(D154,Name_Map!$A$2:$A$102,0)),D154)</f>
        <v>Austral Truck Center SpA</v>
      </c>
      <c r="K154" s="22" t="n">
        <f aca="false">IF(F154&gt;0,G154/F154,0)</f>
        <v>7201.33333333333</v>
      </c>
      <c r="L154" s="10" t="str">
        <f aca="false">IF(AND(COUNTIFS($A$2:$A$307,A154,$E$2:$E$307,E154)&gt;1,COUNTIFS($A$2:$A$307,A154,$E$2:$E$307,E154,$G$2:$G$307,G154)=COUNTIFS($A$2:$A$307,A154,$E$2:$E$307,E154)),"CHECK","OK")</f>
        <v>OK</v>
      </c>
      <c r="M154" s="22" t="n">
        <f aca="false">IF(L154="CHECK",G154/SUMIFS($F$2:$F$307,$A$2:$A$307,A154,$E$2:$E$307,E154),K154)</f>
        <v>7201.33333333333</v>
      </c>
      <c r="N154" s="10" t="str">
        <f aca="false">IF(COUNTIF(Parameters!$E$6:$E$13,H154)&gt;0,"Yes","No")</f>
        <v>Yes</v>
      </c>
      <c r="O154" s="10" t="str">
        <f aca="false">IF(M154&lt;=Parameters!$B$3,IF(COUNTIF(Parameters!$A$6:$A$7,E154)&gt;0,"Vehicles","Out of scope"),IF(COUNTIF(Parameters!$C$6:$C$14,E154)&gt;0,"H&amp;H","Out of scope"))</f>
        <v>Vehicles</v>
      </c>
      <c r="P154" s="22" t="n">
        <f aca="false">M154*F154</f>
        <v>43208</v>
      </c>
    </row>
    <row r="155" customFormat="false" ht="15" hidden="false" customHeight="false" outlineLevel="0" collapsed="false">
      <c r="A155" s="10" t="s">
        <v>293</v>
      </c>
      <c r="B155" s="21" t="n">
        <v>45847</v>
      </c>
      <c r="C155" s="10" t="s">
        <v>156</v>
      </c>
      <c r="D155" s="10" t="s">
        <v>56</v>
      </c>
      <c r="E155" s="10" t="n">
        <v>8704</v>
      </c>
      <c r="F155" s="22" t="n">
        <v>17</v>
      </c>
      <c r="G155" s="22" t="n">
        <v>60180</v>
      </c>
      <c r="H155" s="10" t="s">
        <v>35</v>
      </c>
      <c r="I155" s="10" t="str">
        <f aca="false">IFERROR(VLOOKUP(E155,Parameters!$G$6:$H$15,2,FALSE()),"")</f>
        <v>Goods vehicles (trucks)</v>
      </c>
      <c r="J155" s="10" t="str">
        <f aca="false">IFERROR(INDEX(Name_Map!$B$2:$B$102,MATCH(D155,Name_Map!$A$2:$A$102,0)),D155)</f>
        <v>Austral Truck Center SpA</v>
      </c>
      <c r="K155" s="22" t="n">
        <f aca="false">IF(F155&gt;0,G155/F155,0)</f>
        <v>3540</v>
      </c>
      <c r="L155" s="10" t="str">
        <f aca="false">IF(AND(COUNTIFS($A$2:$A$307,A155,$E$2:$E$307,E155)&gt;1,COUNTIFS($A$2:$A$307,A155,$E$2:$E$307,E155,$G$2:$G$307,G155)=COUNTIFS($A$2:$A$307,A155,$E$2:$E$307,E155)),"CHECK","OK")</f>
        <v>OK</v>
      </c>
      <c r="M155" s="22" t="n">
        <f aca="false">IF(L155="CHECK",G155/SUMIFS($F$2:$F$307,$A$2:$A$307,A155,$E$2:$E$307,E155),K155)</f>
        <v>3540</v>
      </c>
      <c r="N155" s="10" t="str">
        <f aca="false">IF(COUNTIF(Parameters!$E$6:$E$13,H155)&gt;0,"Yes","No")</f>
        <v>Yes</v>
      </c>
      <c r="O155" s="10" t="str">
        <f aca="false">IF(M155&lt;=Parameters!$B$3,IF(COUNTIF(Parameters!$A$6:$A$7,E155)&gt;0,"Vehicles","Out of scope"),IF(COUNTIF(Parameters!$C$6:$C$14,E155)&gt;0,"H&amp;H","Out of scope"))</f>
        <v>Vehicles</v>
      </c>
      <c r="P155" s="22" t="n">
        <f aca="false">M155*F155</f>
        <v>60180</v>
      </c>
    </row>
    <row r="156" customFormat="false" ht="15" hidden="false" customHeight="false" outlineLevel="0" collapsed="false">
      <c r="A156" s="10" t="s">
        <v>294</v>
      </c>
      <c r="B156" s="21" t="n">
        <v>45847</v>
      </c>
      <c r="C156" s="10" t="s">
        <v>161</v>
      </c>
      <c r="D156" s="10" t="s">
        <v>132</v>
      </c>
      <c r="E156" s="10" t="n">
        <v>8429</v>
      </c>
      <c r="F156" s="22" t="n">
        <v>1</v>
      </c>
      <c r="G156" s="22" t="n">
        <v>27906</v>
      </c>
      <c r="H156" s="10" t="s">
        <v>33</v>
      </c>
      <c r="I156" s="10" t="str">
        <f aca="false">IFERROR(VLOOKUP(E156,Parameters!$G$6:$H$15,2,FALSE()),"")</f>
        <v>Bulldozers / excavators / loaders</v>
      </c>
      <c r="J156" s="10" t="str">
        <f aca="false">IFERROR(INDEX(Name_Map!$B$2:$B$102,MATCH(D156,Name_Map!$A$2:$A$102,0)),D156)</f>
        <v>Pacific Bridge Equipment Inc.</v>
      </c>
      <c r="K156" s="22" t="n">
        <f aca="false">IF(F156&gt;0,G156/F156,0)</f>
        <v>27906</v>
      </c>
      <c r="L156" s="10" t="str">
        <f aca="false">IF(AND(COUNTIFS($A$2:$A$307,A156,$E$2:$E$307,E156)&gt;1,COUNTIFS($A$2:$A$307,A156,$E$2:$E$307,E156,$G$2:$G$307,G156)=COUNTIFS($A$2:$A$307,A156,$E$2:$E$307,E156)),"CHECK","OK")</f>
        <v>OK</v>
      </c>
      <c r="M156" s="22" t="n">
        <f aca="false">IF(L156="CHECK",G156/SUMIFS($F$2:$F$307,$A$2:$A$307,A156,$E$2:$E$307,E156),K156)</f>
        <v>27906</v>
      </c>
      <c r="N156" s="10" t="str">
        <f aca="false">IF(COUNTIF(Parameters!$E$6:$E$13,H156)&gt;0,"Yes","No")</f>
        <v>Yes</v>
      </c>
      <c r="O156" s="10" t="str">
        <f aca="false">IF(M156&lt;=Parameters!$B$3,IF(COUNTIF(Parameters!$A$6:$A$7,E156)&gt;0,"Vehicles","Out of scope"),IF(COUNTIF(Parameters!$C$6:$C$14,E156)&gt;0,"H&amp;H","Out of scope"))</f>
        <v>H&amp;H</v>
      </c>
      <c r="P156" s="22" t="n">
        <f aca="false">M156*F156</f>
        <v>27906</v>
      </c>
    </row>
    <row r="157" customFormat="false" ht="15" hidden="false" customHeight="false" outlineLevel="0" collapsed="false">
      <c r="A157" s="10" t="s">
        <v>295</v>
      </c>
      <c r="B157" s="21" t="n">
        <v>45847</v>
      </c>
      <c r="C157" s="10" t="s">
        <v>158</v>
      </c>
      <c r="D157" s="10" t="s">
        <v>48</v>
      </c>
      <c r="E157" s="10" t="n">
        <v>8429</v>
      </c>
      <c r="F157" s="22" t="n">
        <v>2</v>
      </c>
      <c r="G157" s="22" t="n">
        <v>116902</v>
      </c>
      <c r="H157" s="10" t="s">
        <v>242</v>
      </c>
      <c r="I157" s="10" t="str">
        <f aca="false">IFERROR(VLOOKUP(E157,Parameters!$G$6:$H$15,2,FALSE()),"")</f>
        <v>Bulldozers / excavators / loaders</v>
      </c>
      <c r="J157" s="10" t="str">
        <f aca="false">IFERROR(INDEX(Name_Map!$B$2:$B$102,MATCH(D157,Name_Map!$A$2:$A$102,0)),D157)</f>
        <v>Altiplano Trucks S.A.C.</v>
      </c>
      <c r="K157" s="22" t="n">
        <f aca="false">IF(F157&gt;0,G157/F157,0)</f>
        <v>58451</v>
      </c>
      <c r="L157" s="10" t="str">
        <f aca="false">IF(AND(COUNTIFS($A$2:$A$307,A157,$E$2:$E$307,E157)&gt;1,COUNTIFS($A$2:$A$307,A157,$E$2:$E$307,E157,$G$2:$G$307,G157)=COUNTIFS($A$2:$A$307,A157,$E$2:$E$307,E157)),"CHECK","OK")</f>
        <v>OK</v>
      </c>
      <c r="M157" s="22" t="n">
        <f aca="false">IF(L157="CHECK",G157/SUMIFS($F$2:$F$307,$A$2:$A$307,A157,$E$2:$E$307,E157),K157)</f>
        <v>58451</v>
      </c>
      <c r="N157" s="10" t="str">
        <f aca="false">IF(COUNTIF(Parameters!$E$6:$E$13,H157)&gt;0,"Yes","No")</f>
        <v>No</v>
      </c>
      <c r="O157" s="10" t="str">
        <f aca="false">IF(M157&lt;=Parameters!$B$3,IF(COUNTIF(Parameters!$A$6:$A$7,E157)&gt;0,"Vehicles","Out of scope"),IF(COUNTIF(Parameters!$C$6:$C$14,E157)&gt;0,"H&amp;H","Out of scope"))</f>
        <v>H&amp;H</v>
      </c>
      <c r="P157" s="22" t="n">
        <f aca="false">M157*F157</f>
        <v>116902</v>
      </c>
    </row>
    <row r="158" customFormat="false" ht="15" hidden="false" customHeight="false" outlineLevel="0" collapsed="false">
      <c r="A158" s="10" t="s">
        <v>295</v>
      </c>
      <c r="B158" s="21" t="n">
        <v>45847</v>
      </c>
      <c r="C158" s="10" t="s">
        <v>158</v>
      </c>
      <c r="D158" s="10" t="s">
        <v>48</v>
      </c>
      <c r="E158" s="10" t="n">
        <v>8433</v>
      </c>
      <c r="F158" s="22" t="n">
        <v>4</v>
      </c>
      <c r="G158" s="22" t="n">
        <v>135379</v>
      </c>
      <c r="H158" s="10" t="s">
        <v>242</v>
      </c>
      <c r="I158" s="10" t="str">
        <f aca="false">IFERROR(VLOOKUP(E158,Parameters!$G$6:$H$15,2,FALSE()),"")</f>
        <v>Harvesting machinery</v>
      </c>
      <c r="J158" s="10" t="str">
        <f aca="false">IFERROR(INDEX(Name_Map!$B$2:$B$102,MATCH(D158,Name_Map!$A$2:$A$102,0)),D158)</f>
        <v>Altiplano Trucks S.A.C.</v>
      </c>
      <c r="K158" s="22" t="n">
        <f aca="false">IF(F158&gt;0,G158/F158,0)</f>
        <v>33844.75</v>
      </c>
      <c r="L158" s="10" t="str">
        <f aca="false">IF(AND(COUNTIFS($A$2:$A$307,A158,$E$2:$E$307,E158)&gt;1,COUNTIFS($A$2:$A$307,A158,$E$2:$E$307,E158,$G$2:$G$307,G158)=COUNTIFS($A$2:$A$307,A158,$E$2:$E$307,E158)),"CHECK","OK")</f>
        <v>OK</v>
      </c>
      <c r="M158" s="22" t="n">
        <f aca="false">IF(L158="CHECK",G158/SUMIFS($F$2:$F$307,$A$2:$A$307,A158,$E$2:$E$307,E158),K158)</f>
        <v>33844.75</v>
      </c>
      <c r="N158" s="10" t="str">
        <f aca="false">IF(COUNTIF(Parameters!$E$6:$E$13,H158)&gt;0,"Yes","No")</f>
        <v>No</v>
      </c>
      <c r="O158" s="10" t="str">
        <f aca="false">IF(M158&lt;=Parameters!$B$3,IF(COUNTIF(Parameters!$A$6:$A$7,E158)&gt;0,"Vehicles","Out of scope"),IF(COUNTIF(Parameters!$C$6:$C$14,E158)&gt;0,"H&amp;H","Out of scope"))</f>
        <v>H&amp;H</v>
      </c>
      <c r="P158" s="22" t="n">
        <f aca="false">M158*F158</f>
        <v>135379</v>
      </c>
    </row>
    <row r="159" customFormat="false" ht="15" hidden="false" customHeight="false" outlineLevel="0" collapsed="false">
      <c r="A159" s="10" t="s">
        <v>296</v>
      </c>
      <c r="B159" s="21" t="n">
        <v>45848</v>
      </c>
      <c r="C159" s="10" t="s">
        <v>160</v>
      </c>
      <c r="D159" s="10" t="s">
        <v>137</v>
      </c>
      <c r="E159" s="10" t="n">
        <v>8703</v>
      </c>
      <c r="F159" s="22" t="n">
        <v>27</v>
      </c>
      <c r="G159" s="22" t="n">
        <v>48442</v>
      </c>
      <c r="H159" s="10" t="s">
        <v>29</v>
      </c>
      <c r="I159" s="10" t="str">
        <f aca="false">IFERROR(VLOOKUP(E159,Parameters!$G$6:$H$15,2,FALSE()),"")</f>
        <v>Passenger cars</v>
      </c>
      <c r="J159" s="10" t="str">
        <f aca="false">IFERROR(INDEX(Name_Map!$B$2:$B$102,MATCH(D159,Name_Map!$A$2:$A$102,0)),D159)</f>
        <v>Quisqueya Motors S.R.L.</v>
      </c>
      <c r="K159" s="22" t="n">
        <f aca="false">IF(F159&gt;0,G159/F159,0)</f>
        <v>1794.14814814815</v>
      </c>
      <c r="L159" s="10" t="str">
        <f aca="false">IF(AND(COUNTIFS($A$2:$A$307,A159,$E$2:$E$307,E159)&gt;1,COUNTIFS($A$2:$A$307,A159,$E$2:$E$307,E159,$G$2:$G$307,G159)=COUNTIFS($A$2:$A$307,A159,$E$2:$E$307,E159)),"CHECK","OK")</f>
        <v>OK</v>
      </c>
      <c r="M159" s="22" t="n">
        <f aca="false">IF(L159="CHECK",G159/SUMIFS($F$2:$F$307,$A$2:$A$307,A159,$E$2:$E$307,E159),K159)</f>
        <v>1794.14814814815</v>
      </c>
      <c r="N159" s="10" t="str">
        <f aca="false">IF(COUNTIF(Parameters!$E$6:$E$13,H159)&gt;0,"Yes","No")</f>
        <v>Yes</v>
      </c>
      <c r="O159" s="10" t="str">
        <f aca="false">IF(M159&lt;=Parameters!$B$3,IF(COUNTIF(Parameters!$A$6:$A$7,E159)&gt;0,"Vehicles","Out of scope"),IF(COUNTIF(Parameters!$C$6:$C$14,E159)&gt;0,"H&amp;H","Out of scope"))</f>
        <v>Vehicles</v>
      </c>
      <c r="P159" s="22" t="n">
        <f aca="false">M159*F159</f>
        <v>48442</v>
      </c>
    </row>
    <row r="160" customFormat="false" ht="15" hidden="false" customHeight="false" outlineLevel="0" collapsed="false">
      <c r="A160" s="10" t="s">
        <v>296</v>
      </c>
      <c r="B160" s="21" t="n">
        <v>45848</v>
      </c>
      <c r="C160" s="10" t="s">
        <v>160</v>
      </c>
      <c r="D160" s="10" t="s">
        <v>138</v>
      </c>
      <c r="E160" s="10" t="n">
        <v>8703</v>
      </c>
      <c r="F160" s="22" t="n">
        <v>3</v>
      </c>
      <c r="G160" s="22" t="n">
        <v>4642</v>
      </c>
      <c r="H160" s="10" t="s">
        <v>29</v>
      </c>
      <c r="I160" s="10" t="str">
        <f aca="false">IFERROR(VLOOKUP(E160,Parameters!$G$6:$H$15,2,FALSE()),"")</f>
        <v>Passenger cars</v>
      </c>
      <c r="J160" s="10" t="str">
        <f aca="false">IFERROR(INDEX(Name_Map!$B$2:$B$102,MATCH(D160,Name_Map!$A$2:$A$102,0)),D160)</f>
        <v>Quisqueya Motors S.R.L.</v>
      </c>
      <c r="K160" s="22" t="n">
        <f aca="false">IF(F160&gt;0,G160/F160,0)</f>
        <v>1547.33333333333</v>
      </c>
      <c r="L160" s="10" t="str">
        <f aca="false">IF(AND(COUNTIFS($A$2:$A$307,A160,$E$2:$E$307,E160)&gt;1,COUNTIFS($A$2:$A$307,A160,$E$2:$E$307,E160,$G$2:$G$307,G160)=COUNTIFS($A$2:$A$307,A160,$E$2:$E$307,E160)),"CHECK","OK")</f>
        <v>OK</v>
      </c>
      <c r="M160" s="22" t="n">
        <f aca="false">IF(L160="CHECK",G160/SUMIFS($F$2:$F$307,$A$2:$A$307,A160,$E$2:$E$307,E160),K160)</f>
        <v>1547.33333333333</v>
      </c>
      <c r="N160" s="10" t="str">
        <f aca="false">IF(COUNTIF(Parameters!$E$6:$E$13,H160)&gt;0,"Yes","No")</f>
        <v>Yes</v>
      </c>
      <c r="O160" s="10" t="str">
        <f aca="false">IF(M160&lt;=Parameters!$B$3,IF(COUNTIF(Parameters!$A$6:$A$7,E160)&gt;0,"Vehicles","Out of scope"),IF(COUNTIF(Parameters!$C$6:$C$14,E160)&gt;0,"H&amp;H","Out of scope"))</f>
        <v>Vehicles</v>
      </c>
      <c r="P160" s="22" t="n">
        <f aca="false">M160*F160</f>
        <v>4642</v>
      </c>
    </row>
    <row r="161" customFormat="false" ht="15" hidden="false" customHeight="false" outlineLevel="0" collapsed="false">
      <c r="A161" s="10" t="s">
        <v>297</v>
      </c>
      <c r="B161" s="21" t="n">
        <v>45849</v>
      </c>
      <c r="C161" s="10" t="s">
        <v>159</v>
      </c>
      <c r="D161" s="10" t="s">
        <v>107</v>
      </c>
      <c r="E161" s="10" t="n">
        <v>8704</v>
      </c>
      <c r="F161" s="22" t="n">
        <v>2</v>
      </c>
      <c r="G161" s="22" t="n">
        <v>31398</v>
      </c>
      <c r="H161" s="10" t="s">
        <v>29</v>
      </c>
      <c r="I161" s="10" t="str">
        <f aca="false">IFERROR(VLOOKUP(E161,Parameters!$G$6:$H$15,2,FALSE()),"")</f>
        <v>Goods vehicles (trucks)</v>
      </c>
      <c r="J161" s="10" t="str">
        <f aca="false">IFERROR(INDEX(Name_Map!$B$2:$B$102,MATCH(D161,Name_Map!$A$2:$A$102,0)),D161)</f>
        <v>Guayas Autos S.A.</v>
      </c>
      <c r="K161" s="22" t="n">
        <f aca="false">IF(F161&gt;0,G161/F161,0)</f>
        <v>15699</v>
      </c>
      <c r="L161" s="10" t="str">
        <f aca="false">IF(AND(COUNTIFS($A$2:$A$307,A161,$E$2:$E$307,E161)&gt;1,COUNTIFS($A$2:$A$307,A161,$E$2:$E$307,E161,$G$2:$G$307,G161)=COUNTIFS($A$2:$A$307,A161,$E$2:$E$307,E161)),"CHECK","OK")</f>
        <v>CHECK</v>
      </c>
      <c r="M161" s="22" t="n">
        <f aca="false">IF(L161="CHECK",G161/SUMIFS($F$2:$F$307,$A$2:$A$307,A161,$E$2:$E$307,E161),K161)</f>
        <v>5233</v>
      </c>
      <c r="N161" s="10" t="str">
        <f aca="false">IF(COUNTIF(Parameters!$E$6:$E$13,H161)&gt;0,"Yes","No")</f>
        <v>Yes</v>
      </c>
      <c r="O161" s="10" t="str">
        <f aca="false">IF(M161&lt;=Parameters!$B$3,IF(COUNTIF(Parameters!$A$6:$A$7,E161)&gt;0,"Vehicles","Out of scope"),IF(COUNTIF(Parameters!$C$6:$C$14,E161)&gt;0,"H&amp;H","Out of scope"))</f>
        <v>Vehicles</v>
      </c>
      <c r="P161" s="22" t="n">
        <f aca="false">M161*F161</f>
        <v>10466</v>
      </c>
    </row>
    <row r="162" customFormat="false" ht="15" hidden="false" customHeight="false" outlineLevel="0" collapsed="false">
      <c r="A162" s="10" t="s">
        <v>297</v>
      </c>
      <c r="B162" s="21" t="n">
        <v>45849</v>
      </c>
      <c r="C162" s="10" t="s">
        <v>159</v>
      </c>
      <c r="D162" s="10" t="s">
        <v>107</v>
      </c>
      <c r="E162" s="10" t="n">
        <v>8704</v>
      </c>
      <c r="F162" s="22" t="n">
        <v>3</v>
      </c>
      <c r="G162" s="22" t="n">
        <v>31398</v>
      </c>
      <c r="H162" s="10" t="s">
        <v>29</v>
      </c>
      <c r="I162" s="10" t="str">
        <f aca="false">IFERROR(VLOOKUP(E162,Parameters!$G$6:$H$15,2,FALSE()),"")</f>
        <v>Goods vehicles (trucks)</v>
      </c>
      <c r="J162" s="10" t="str">
        <f aca="false">IFERROR(INDEX(Name_Map!$B$2:$B$102,MATCH(D162,Name_Map!$A$2:$A$102,0)),D162)</f>
        <v>Guayas Autos S.A.</v>
      </c>
      <c r="K162" s="22" t="n">
        <f aca="false">IF(F162&gt;0,G162/F162,0)</f>
        <v>10466</v>
      </c>
      <c r="L162" s="10" t="str">
        <f aca="false">IF(AND(COUNTIFS($A$2:$A$307,A162,$E$2:$E$307,E162)&gt;1,COUNTIFS($A$2:$A$307,A162,$E$2:$E$307,E162,$G$2:$G$307,G162)=COUNTIFS($A$2:$A$307,A162,$E$2:$E$307,E162)),"CHECK","OK")</f>
        <v>CHECK</v>
      </c>
      <c r="M162" s="22" t="n">
        <f aca="false">IF(L162="CHECK",G162/SUMIFS($F$2:$F$307,$A$2:$A$307,A162,$E$2:$E$307,E162),K162)</f>
        <v>5233</v>
      </c>
      <c r="N162" s="10" t="str">
        <f aca="false">IF(COUNTIF(Parameters!$E$6:$E$13,H162)&gt;0,"Yes","No")</f>
        <v>Yes</v>
      </c>
      <c r="O162" s="10" t="str">
        <f aca="false">IF(M162&lt;=Parameters!$B$3,IF(COUNTIF(Parameters!$A$6:$A$7,E162)&gt;0,"Vehicles","Out of scope"),IF(COUNTIF(Parameters!$C$6:$C$14,E162)&gt;0,"H&amp;H","Out of scope"))</f>
        <v>Vehicles</v>
      </c>
      <c r="P162" s="22" t="n">
        <f aca="false">M162*F162</f>
        <v>15699</v>
      </c>
    </row>
    <row r="163" customFormat="false" ht="15" hidden="false" customHeight="false" outlineLevel="0" collapsed="false">
      <c r="A163" s="10" t="s">
        <v>297</v>
      </c>
      <c r="B163" s="21" t="n">
        <v>45849</v>
      </c>
      <c r="C163" s="10" t="s">
        <v>159</v>
      </c>
      <c r="D163" s="10" t="s">
        <v>108</v>
      </c>
      <c r="E163" s="10" t="n">
        <v>8704</v>
      </c>
      <c r="F163" s="22" t="n">
        <v>1</v>
      </c>
      <c r="G163" s="22" t="n">
        <v>31398</v>
      </c>
      <c r="H163" s="10" t="s">
        <v>37</v>
      </c>
      <c r="I163" s="10" t="str">
        <f aca="false">IFERROR(VLOOKUP(E163,Parameters!$G$6:$H$15,2,FALSE()),"")</f>
        <v>Goods vehicles (trucks)</v>
      </c>
      <c r="J163" s="10" t="str">
        <f aca="false">IFERROR(INDEX(Name_Map!$B$2:$B$102,MATCH(D163,Name_Map!$A$2:$A$102,0)),D163)</f>
        <v>Guayas Autos S.A.</v>
      </c>
      <c r="K163" s="22" t="n">
        <f aca="false">IF(F163&gt;0,G163/F163,0)</f>
        <v>31398</v>
      </c>
      <c r="L163" s="10" t="str">
        <f aca="false">IF(AND(COUNTIFS($A$2:$A$307,A163,$E$2:$E$307,E163)&gt;1,COUNTIFS($A$2:$A$307,A163,$E$2:$E$307,E163,$G$2:$G$307,G163)=COUNTIFS($A$2:$A$307,A163,$E$2:$E$307,E163)),"CHECK","OK")</f>
        <v>CHECK</v>
      </c>
      <c r="M163" s="22" t="n">
        <f aca="false">IF(L163="CHECK",G163/SUMIFS($F$2:$F$307,$A$2:$A$307,A163,$E$2:$E$307,E163),K163)</f>
        <v>5233</v>
      </c>
      <c r="N163" s="10" t="str">
        <f aca="false">IF(COUNTIF(Parameters!$E$6:$E$13,H163)&gt;0,"Yes","No")</f>
        <v>Yes</v>
      </c>
      <c r="O163" s="10" t="str">
        <f aca="false">IF(M163&lt;=Parameters!$B$3,IF(COUNTIF(Parameters!$A$6:$A$7,E163)&gt;0,"Vehicles","Out of scope"),IF(COUNTIF(Parameters!$C$6:$C$14,E163)&gt;0,"H&amp;H","Out of scope"))</f>
        <v>Vehicles</v>
      </c>
      <c r="P163" s="22" t="n">
        <f aca="false">M163*F163</f>
        <v>5233</v>
      </c>
    </row>
    <row r="164" customFormat="false" ht="15" hidden="false" customHeight="false" outlineLevel="0" collapsed="false">
      <c r="A164" s="10" t="s">
        <v>298</v>
      </c>
      <c r="B164" s="21" t="n">
        <v>45851</v>
      </c>
      <c r="C164" s="10" t="s">
        <v>158</v>
      </c>
      <c r="D164" s="10" t="s">
        <v>111</v>
      </c>
      <c r="E164" s="10" t="n">
        <v>8703</v>
      </c>
      <c r="F164" s="22" t="n">
        <v>38</v>
      </c>
      <c r="G164" s="22" t="n">
        <v>73544</v>
      </c>
      <c r="H164" s="10" t="s">
        <v>37</v>
      </c>
      <c r="I164" s="10" t="str">
        <f aca="false">IFERROR(VLOOKUP(E164,Parameters!$G$6:$H$15,2,FALSE()),"")</f>
        <v>Passenger cars</v>
      </c>
      <c r="J164" s="10" t="str">
        <f aca="false">IFERROR(INDEX(Name_Map!$B$2:$B$102,MATCH(D164,Name_Map!$A$2:$A$102,0)),D164)</f>
        <v>Inca Automotriz S.A.C.</v>
      </c>
      <c r="K164" s="22" t="n">
        <f aca="false">IF(F164&gt;0,G164/F164,0)</f>
        <v>1935.36842105263</v>
      </c>
      <c r="L164" s="10" t="str">
        <f aca="false">IF(AND(COUNTIFS($A$2:$A$307,A164,$E$2:$E$307,E164)&gt;1,COUNTIFS($A$2:$A$307,A164,$E$2:$E$307,E164,$G$2:$G$307,G164)=COUNTIFS($A$2:$A$307,A164,$E$2:$E$307,E164)),"CHECK","OK")</f>
        <v>OK</v>
      </c>
      <c r="M164" s="22" t="n">
        <f aca="false">IF(L164="CHECK",G164/SUMIFS($F$2:$F$307,$A$2:$A$307,A164,$E$2:$E$307,E164),K164)</f>
        <v>1935.36842105263</v>
      </c>
      <c r="N164" s="10" t="str">
        <f aca="false">IF(COUNTIF(Parameters!$E$6:$E$13,H164)&gt;0,"Yes","No")</f>
        <v>Yes</v>
      </c>
      <c r="O164" s="10" t="str">
        <f aca="false">IF(M164&lt;=Parameters!$B$3,IF(COUNTIF(Parameters!$A$6:$A$7,E164)&gt;0,"Vehicles","Out of scope"),IF(COUNTIF(Parameters!$C$6:$C$14,E164)&gt;0,"H&amp;H","Out of scope"))</f>
        <v>Vehicles</v>
      </c>
      <c r="P164" s="22" t="n">
        <f aca="false">M164*F164</f>
        <v>73544</v>
      </c>
    </row>
    <row r="165" customFormat="false" ht="15" hidden="false" customHeight="false" outlineLevel="0" collapsed="false">
      <c r="A165" s="10" t="s">
        <v>298</v>
      </c>
      <c r="B165" s="21" t="n">
        <v>45851</v>
      </c>
      <c r="C165" s="10" t="s">
        <v>158</v>
      </c>
      <c r="D165" s="10" t="s">
        <v>114</v>
      </c>
      <c r="E165" s="10" t="n">
        <v>8703</v>
      </c>
      <c r="F165" s="22" t="n">
        <v>22</v>
      </c>
      <c r="G165" s="22" t="n">
        <v>46644</v>
      </c>
      <c r="H165" s="10" t="s">
        <v>37</v>
      </c>
      <c r="I165" s="10" t="str">
        <f aca="false">IFERROR(VLOOKUP(E165,Parameters!$G$6:$H$15,2,FALSE()),"")</f>
        <v>Passenger cars</v>
      </c>
      <c r="J165" s="10" t="str">
        <f aca="false">IFERROR(INDEX(Name_Map!$B$2:$B$102,MATCH(D165,Name_Map!$A$2:$A$102,0)),D165)</f>
        <v>Inca Automotriz S.A.C.</v>
      </c>
      <c r="K165" s="22" t="n">
        <f aca="false">IF(F165&gt;0,G165/F165,0)</f>
        <v>2120.18181818182</v>
      </c>
      <c r="L165" s="10" t="str">
        <f aca="false">IF(AND(COUNTIFS($A$2:$A$307,A165,$E$2:$E$307,E165)&gt;1,COUNTIFS($A$2:$A$307,A165,$E$2:$E$307,E165,$G$2:$G$307,G165)=COUNTIFS($A$2:$A$307,A165,$E$2:$E$307,E165)),"CHECK","OK")</f>
        <v>OK</v>
      </c>
      <c r="M165" s="22" t="n">
        <f aca="false">IF(L165="CHECK",G165/SUMIFS($F$2:$F$307,$A$2:$A$307,A165,$E$2:$E$307,E165),K165)</f>
        <v>2120.18181818182</v>
      </c>
      <c r="N165" s="10" t="str">
        <f aca="false">IF(COUNTIF(Parameters!$E$6:$E$13,H165)&gt;0,"Yes","No")</f>
        <v>Yes</v>
      </c>
      <c r="O165" s="10" t="str">
        <f aca="false">IF(M165&lt;=Parameters!$B$3,IF(COUNTIF(Parameters!$A$6:$A$7,E165)&gt;0,"Vehicles","Out of scope"),IF(COUNTIF(Parameters!$C$6:$C$14,E165)&gt;0,"H&amp;H","Out of scope"))</f>
        <v>Vehicles</v>
      </c>
      <c r="P165" s="22" t="n">
        <f aca="false">M165*F165</f>
        <v>46644</v>
      </c>
    </row>
    <row r="166" customFormat="false" ht="15" hidden="false" customHeight="false" outlineLevel="0" collapsed="false">
      <c r="A166" s="10" t="s">
        <v>299</v>
      </c>
      <c r="B166" s="21" t="n">
        <v>45852</v>
      </c>
      <c r="C166" s="10" t="s">
        <v>156</v>
      </c>
      <c r="D166" s="10" t="s">
        <v>53</v>
      </c>
      <c r="E166" s="10" t="n">
        <v>8426</v>
      </c>
      <c r="F166" s="22" t="n">
        <v>4</v>
      </c>
      <c r="G166" s="22" t="n">
        <v>207750</v>
      </c>
      <c r="H166" s="10" t="s">
        <v>39</v>
      </c>
      <c r="I166" s="10" t="str">
        <f aca="false">IFERROR(VLOOKUP(E166,Parameters!$G$6:$H$15,2,FALSE()),"")</f>
        <v>Cranes</v>
      </c>
      <c r="J166" s="10" t="str">
        <f aca="false">IFERROR(INDEX(Name_Map!$B$2:$B$102,MATCH(D166,Name_Map!$A$2:$A$102,0)),D166)</f>
        <v>Atacama Equipos Mineros S.A.</v>
      </c>
      <c r="K166" s="22" t="n">
        <f aca="false">IF(F166&gt;0,G166/F166,0)</f>
        <v>51937.5</v>
      </c>
      <c r="L166" s="10" t="str">
        <f aca="false">IF(AND(COUNTIFS($A$2:$A$307,A166,$E$2:$E$307,E166)&gt;1,COUNTIFS($A$2:$A$307,A166,$E$2:$E$307,E166,$G$2:$G$307,G166)=COUNTIFS($A$2:$A$307,A166,$E$2:$E$307,E166)),"CHECK","OK")</f>
        <v>OK</v>
      </c>
      <c r="M166" s="22" t="n">
        <f aca="false">IF(L166="CHECK",G166/SUMIFS($F$2:$F$307,$A$2:$A$307,A166,$E$2:$E$307,E166),K166)</f>
        <v>51937.5</v>
      </c>
      <c r="N166" s="10" t="str">
        <f aca="false">IF(COUNTIF(Parameters!$E$6:$E$13,H166)&gt;0,"Yes","No")</f>
        <v>Yes</v>
      </c>
      <c r="O166" s="10" t="str">
        <f aca="false">IF(M166&lt;=Parameters!$B$3,IF(COUNTIF(Parameters!$A$6:$A$7,E166)&gt;0,"Vehicles","Out of scope"),IF(COUNTIF(Parameters!$C$6:$C$14,E166)&gt;0,"H&amp;H","Out of scope"))</f>
        <v>H&amp;H</v>
      </c>
      <c r="P166" s="22" t="n">
        <f aca="false">M166*F166</f>
        <v>207750</v>
      </c>
    </row>
    <row r="167" customFormat="false" ht="15" hidden="false" customHeight="false" outlineLevel="0" collapsed="false">
      <c r="A167" s="10" t="s">
        <v>300</v>
      </c>
      <c r="B167" s="21" t="n">
        <v>45852</v>
      </c>
      <c r="C167" s="10" t="s">
        <v>157</v>
      </c>
      <c r="D167" s="10" t="s">
        <v>76</v>
      </c>
      <c r="E167" s="10" t="n">
        <v>8703</v>
      </c>
      <c r="F167" s="22" t="n">
        <v>3</v>
      </c>
      <c r="G167" s="22" t="n">
        <v>6806</v>
      </c>
      <c r="H167" s="10" t="s">
        <v>39</v>
      </c>
      <c r="I167" s="10" t="str">
        <f aca="false">IFERROR(VLOOKUP(E167,Parameters!$G$6:$H$15,2,FALSE()),"")</f>
        <v>Passenger cars</v>
      </c>
      <c r="J167" s="10" t="str">
        <f aca="false">IFERROR(INDEX(Name_Map!$B$2:$B$102,MATCH(D167,Name_Map!$A$2:$A$102,0)),D167)</f>
        <v>Caribe Motores S.A.S.</v>
      </c>
      <c r="K167" s="22" t="n">
        <f aca="false">IF(F167&gt;0,G167/F167,0)</f>
        <v>2268.66666666667</v>
      </c>
      <c r="L167" s="10" t="str">
        <f aca="false">IF(AND(COUNTIFS($A$2:$A$307,A167,$E$2:$E$307,E167)&gt;1,COUNTIFS($A$2:$A$307,A167,$E$2:$E$307,E167,$G$2:$G$307,G167)=COUNTIFS($A$2:$A$307,A167,$E$2:$E$307,E167)),"CHECK","OK")</f>
        <v>OK</v>
      </c>
      <c r="M167" s="22" t="n">
        <f aca="false">IF(L167="CHECK",G167/SUMIFS($F$2:$F$307,$A$2:$A$307,A167,$E$2:$E$307,E167),K167)</f>
        <v>2268.66666666667</v>
      </c>
      <c r="N167" s="10" t="str">
        <f aca="false">IF(COUNTIF(Parameters!$E$6:$E$13,H167)&gt;0,"Yes","No")</f>
        <v>Yes</v>
      </c>
      <c r="O167" s="10" t="str">
        <f aca="false">IF(M167&lt;=Parameters!$B$3,IF(COUNTIF(Parameters!$A$6:$A$7,E167)&gt;0,"Vehicles","Out of scope"),IF(COUNTIF(Parameters!$C$6:$C$14,E167)&gt;0,"H&amp;H","Out of scope"))</f>
        <v>Vehicles</v>
      </c>
      <c r="P167" s="22" t="n">
        <f aca="false">M167*F167</f>
        <v>6806</v>
      </c>
    </row>
    <row r="168" customFormat="false" ht="15" hidden="false" customHeight="false" outlineLevel="0" collapsed="false">
      <c r="A168" s="10" t="s">
        <v>301</v>
      </c>
      <c r="B168" s="21" t="n">
        <v>45854</v>
      </c>
      <c r="C168" s="10" t="s">
        <v>157</v>
      </c>
      <c r="D168" s="10" t="s">
        <v>68</v>
      </c>
      <c r="E168" s="10" t="n">
        <v>8704</v>
      </c>
      <c r="F168" s="22" t="n">
        <v>2</v>
      </c>
      <c r="G168" s="22" t="n">
        <v>16715</v>
      </c>
      <c r="H168" s="10" t="s">
        <v>33</v>
      </c>
      <c r="I168" s="10" t="str">
        <f aca="false">IFERROR(VLOOKUP(E168,Parameters!$G$6:$H$15,2,FALSE()),"")</f>
        <v>Goods vehicles (trucks)</v>
      </c>
      <c r="J168" s="10" t="str">
        <f aca="false">IFERROR(INDEX(Name_Map!$B$2:$B$102,MATCH(D168,Name_Map!$A$2:$A$102,0)),D168)</f>
        <v>Autonorte Distribuciones S.A.S.</v>
      </c>
      <c r="K168" s="22" t="n">
        <f aca="false">IF(F168&gt;0,G168/F168,0)</f>
        <v>8357.5</v>
      </c>
      <c r="L168" s="10" t="str">
        <f aca="false">IF(AND(COUNTIFS($A$2:$A$307,A168,$E$2:$E$307,E168)&gt;1,COUNTIFS($A$2:$A$307,A168,$E$2:$E$307,E168,$G$2:$G$307,G168)=COUNTIFS($A$2:$A$307,A168,$E$2:$E$307,E168)),"CHECK","OK")</f>
        <v>OK</v>
      </c>
      <c r="M168" s="22" t="n">
        <f aca="false">IF(L168="CHECK",G168/SUMIFS($F$2:$F$307,$A$2:$A$307,A168,$E$2:$E$307,E168),K168)</f>
        <v>8357.5</v>
      </c>
      <c r="N168" s="10" t="str">
        <f aca="false">IF(COUNTIF(Parameters!$E$6:$E$13,H168)&gt;0,"Yes","No")</f>
        <v>Yes</v>
      </c>
      <c r="O168" s="10" t="str">
        <f aca="false">IF(M168&lt;=Parameters!$B$3,IF(COUNTIF(Parameters!$A$6:$A$7,E168)&gt;0,"Vehicles","Out of scope"),IF(COUNTIF(Parameters!$C$6:$C$14,E168)&gt;0,"H&amp;H","Out of scope"))</f>
        <v>Vehicles</v>
      </c>
      <c r="P168" s="22" t="n">
        <f aca="false">M168*F168</f>
        <v>16715</v>
      </c>
    </row>
    <row r="169" customFormat="false" ht="15" hidden="false" customHeight="false" outlineLevel="0" collapsed="false">
      <c r="A169" s="10" t="s">
        <v>301</v>
      </c>
      <c r="B169" s="21" t="n">
        <v>45854</v>
      </c>
      <c r="C169" s="10" t="s">
        <v>157</v>
      </c>
      <c r="D169" s="10" t="s">
        <v>67</v>
      </c>
      <c r="E169" s="10" t="n">
        <v>8703</v>
      </c>
      <c r="F169" s="22" t="n">
        <v>16</v>
      </c>
      <c r="G169" s="22" t="n">
        <v>24249</v>
      </c>
      <c r="H169" s="10" t="s">
        <v>33</v>
      </c>
      <c r="I169" s="10" t="str">
        <f aca="false">IFERROR(VLOOKUP(E169,Parameters!$G$6:$H$15,2,FALSE()),"")</f>
        <v>Passenger cars</v>
      </c>
      <c r="J169" s="10" t="str">
        <f aca="false">IFERROR(INDEX(Name_Map!$B$2:$B$102,MATCH(D169,Name_Map!$A$2:$A$102,0)),D169)</f>
        <v>Autonorte Distribuciones S.A.S.</v>
      </c>
      <c r="K169" s="22" t="n">
        <f aca="false">IF(F169&gt;0,G169/F169,0)</f>
        <v>1515.5625</v>
      </c>
      <c r="L169" s="10" t="str">
        <f aca="false">IF(AND(COUNTIFS($A$2:$A$307,A169,$E$2:$E$307,E169)&gt;1,COUNTIFS($A$2:$A$307,A169,$E$2:$E$307,E169,$G$2:$G$307,G169)=COUNTIFS($A$2:$A$307,A169,$E$2:$E$307,E169)),"CHECK","OK")</f>
        <v>OK</v>
      </c>
      <c r="M169" s="22" t="n">
        <f aca="false">IF(L169="CHECK",G169/SUMIFS($F$2:$F$307,$A$2:$A$307,A169,$E$2:$E$307,E169),K169)</f>
        <v>1515.5625</v>
      </c>
      <c r="N169" s="10" t="str">
        <f aca="false">IF(COUNTIF(Parameters!$E$6:$E$13,H169)&gt;0,"Yes","No")</f>
        <v>Yes</v>
      </c>
      <c r="O169" s="10" t="str">
        <f aca="false">IF(M169&lt;=Parameters!$B$3,IF(COUNTIF(Parameters!$A$6:$A$7,E169)&gt;0,"Vehicles","Out of scope"),IF(COUNTIF(Parameters!$C$6:$C$14,E169)&gt;0,"H&amp;H","Out of scope"))</f>
        <v>Vehicles</v>
      </c>
      <c r="P169" s="22" t="n">
        <f aca="false">M169*F169</f>
        <v>24249</v>
      </c>
    </row>
    <row r="170" customFormat="false" ht="15" hidden="false" customHeight="false" outlineLevel="0" collapsed="false">
      <c r="A170" s="10" t="s">
        <v>302</v>
      </c>
      <c r="B170" s="21" t="n">
        <v>45855</v>
      </c>
      <c r="C170" s="10" t="s">
        <v>159</v>
      </c>
      <c r="D170" s="10" t="s">
        <v>101</v>
      </c>
      <c r="E170" s="10" t="n">
        <v>8427</v>
      </c>
      <c r="F170" s="22" t="n">
        <v>1</v>
      </c>
      <c r="G170" s="22" t="n">
        <v>58113</v>
      </c>
      <c r="H170" s="10" t="s">
        <v>180</v>
      </c>
      <c r="I170" s="10" t="str">
        <f aca="false">IFERROR(VLOOKUP(E170,Parameters!$G$6:$H$15,2,FALSE()),"")</f>
        <v>Forklift trucks</v>
      </c>
      <c r="J170" s="10" t="str">
        <f aca="false">IFERROR(INDEX(Name_Map!$B$2:$B$102,MATCH(D170,Name_Map!$A$2:$A$102,0)),D170)</f>
        <v>Equinoccio Maquinaria S.A.</v>
      </c>
      <c r="K170" s="22" t="n">
        <f aca="false">IF(F170&gt;0,G170/F170,0)</f>
        <v>58113</v>
      </c>
      <c r="L170" s="10" t="str">
        <f aca="false">IF(AND(COUNTIFS($A$2:$A$307,A170,$E$2:$E$307,E170)&gt;1,COUNTIFS($A$2:$A$307,A170,$E$2:$E$307,E170,$G$2:$G$307,G170)=COUNTIFS($A$2:$A$307,A170,$E$2:$E$307,E170)),"CHECK","OK")</f>
        <v>OK</v>
      </c>
      <c r="M170" s="22" t="n">
        <f aca="false">IF(L170="CHECK",G170/SUMIFS($F$2:$F$307,$A$2:$A$307,A170,$E$2:$E$307,E170),K170)</f>
        <v>58113</v>
      </c>
      <c r="N170" s="10" t="str">
        <f aca="false">IF(COUNTIF(Parameters!$E$6:$E$13,H170)&gt;0,"Yes","No")</f>
        <v>No</v>
      </c>
      <c r="O170" s="10" t="str">
        <f aca="false">IF(M170&lt;=Parameters!$B$3,IF(COUNTIF(Parameters!$A$6:$A$7,E170)&gt;0,"Vehicles","Out of scope"),IF(COUNTIF(Parameters!$C$6:$C$14,E170)&gt;0,"H&amp;H","Out of scope"))</f>
        <v>H&amp;H</v>
      </c>
      <c r="P170" s="22" t="n">
        <f aca="false">M170*F170</f>
        <v>58113</v>
      </c>
    </row>
    <row r="171" customFormat="false" ht="15" hidden="false" customHeight="false" outlineLevel="0" collapsed="false">
      <c r="A171" s="10" t="s">
        <v>303</v>
      </c>
      <c r="B171" s="21" t="n">
        <v>45855</v>
      </c>
      <c r="C171" s="10" t="s">
        <v>158</v>
      </c>
      <c r="D171" s="10" t="s">
        <v>47</v>
      </c>
      <c r="E171" s="10" t="n">
        <v>8703</v>
      </c>
      <c r="F171" s="22" t="n">
        <v>4</v>
      </c>
      <c r="G171" s="22" t="n">
        <v>5707</v>
      </c>
      <c r="H171" s="10" t="s">
        <v>182</v>
      </c>
      <c r="I171" s="10" t="str">
        <f aca="false">IFERROR(VLOOKUP(E171,Parameters!$G$6:$H$15,2,FALSE()),"")</f>
        <v>Passenger cars</v>
      </c>
      <c r="J171" s="10" t="str">
        <f aca="false">IFERROR(INDEX(Name_Map!$B$2:$B$102,MATCH(D171,Name_Map!$A$2:$A$102,0)),D171)</f>
        <v>Altiplano Trucks S.A.C.</v>
      </c>
      <c r="K171" s="22" t="n">
        <f aca="false">IF(F171&gt;0,G171/F171,0)</f>
        <v>1426.75</v>
      </c>
      <c r="L171" s="10" t="str">
        <f aca="false">IF(AND(COUNTIFS($A$2:$A$307,A171,$E$2:$E$307,E171)&gt;1,COUNTIFS($A$2:$A$307,A171,$E$2:$E$307,E171,$G$2:$G$307,G171)=COUNTIFS($A$2:$A$307,A171,$E$2:$E$307,E171)),"CHECK","OK")</f>
        <v>OK</v>
      </c>
      <c r="M171" s="22" t="n">
        <f aca="false">IF(L171="CHECK",G171/SUMIFS($F$2:$F$307,$A$2:$A$307,A171,$E$2:$E$307,E171),K171)</f>
        <v>1426.75</v>
      </c>
      <c r="N171" s="10" t="str">
        <f aca="false">IF(COUNTIF(Parameters!$E$6:$E$13,H171)&gt;0,"Yes","No")</f>
        <v>No</v>
      </c>
      <c r="O171" s="10" t="str">
        <f aca="false">IF(M171&lt;=Parameters!$B$3,IF(COUNTIF(Parameters!$A$6:$A$7,E171)&gt;0,"Vehicles","Out of scope"),IF(COUNTIF(Parameters!$C$6:$C$14,E171)&gt;0,"H&amp;H","Out of scope"))</f>
        <v>Vehicles</v>
      </c>
      <c r="P171" s="22" t="n">
        <f aca="false">M171*F171</f>
        <v>5707</v>
      </c>
    </row>
    <row r="172" customFormat="false" ht="15" hidden="false" customHeight="false" outlineLevel="0" collapsed="false">
      <c r="A172" s="10" t="s">
        <v>304</v>
      </c>
      <c r="B172" s="21" t="n">
        <v>45862</v>
      </c>
      <c r="C172" s="10" t="s">
        <v>159</v>
      </c>
      <c r="D172" s="10" t="s">
        <v>109</v>
      </c>
      <c r="E172" s="10" t="n">
        <v>8703</v>
      </c>
      <c r="F172" s="22" t="n">
        <v>18</v>
      </c>
      <c r="G172" s="22" t="n">
        <v>34575</v>
      </c>
      <c r="H172" s="10" t="s">
        <v>29</v>
      </c>
      <c r="I172" s="10" t="str">
        <f aca="false">IFERROR(VLOOKUP(E172,Parameters!$G$6:$H$15,2,FALSE()),"")</f>
        <v>Passenger cars</v>
      </c>
      <c r="J172" s="10" t="str">
        <f aca="false">IFERROR(INDEX(Name_Map!$B$2:$B$102,MATCH(D172,Name_Map!$A$2:$A$102,0)),D172)</f>
        <v>Guayas Autos S.A.</v>
      </c>
      <c r="K172" s="22" t="n">
        <f aca="false">IF(F172&gt;0,G172/F172,0)</f>
        <v>1920.83333333333</v>
      </c>
      <c r="L172" s="10" t="str">
        <f aca="false">IF(AND(COUNTIFS($A$2:$A$307,A172,$E$2:$E$307,E172)&gt;1,COUNTIFS($A$2:$A$307,A172,$E$2:$E$307,E172,$G$2:$G$307,G172)=COUNTIFS($A$2:$A$307,A172,$E$2:$E$307,E172)),"CHECK","OK")</f>
        <v>OK</v>
      </c>
      <c r="M172" s="22" t="n">
        <f aca="false">IF(L172="CHECK",G172/SUMIFS($F$2:$F$307,$A$2:$A$307,A172,$E$2:$E$307,E172),K172)</f>
        <v>1920.83333333333</v>
      </c>
      <c r="N172" s="10" t="str">
        <f aca="false">IF(COUNTIF(Parameters!$E$6:$E$13,H172)&gt;0,"Yes","No")</f>
        <v>Yes</v>
      </c>
      <c r="O172" s="10" t="str">
        <f aca="false">IF(M172&lt;=Parameters!$B$3,IF(COUNTIF(Parameters!$A$6:$A$7,E172)&gt;0,"Vehicles","Out of scope"),IF(COUNTIF(Parameters!$C$6:$C$14,E172)&gt;0,"H&amp;H","Out of scope"))</f>
        <v>Vehicles</v>
      </c>
      <c r="P172" s="22" t="n">
        <f aca="false">M172*F172</f>
        <v>34575</v>
      </c>
    </row>
    <row r="173" customFormat="false" ht="15" hidden="false" customHeight="false" outlineLevel="0" collapsed="false">
      <c r="A173" s="10" t="s">
        <v>305</v>
      </c>
      <c r="B173" s="21" t="n">
        <v>45865</v>
      </c>
      <c r="C173" s="10" t="s">
        <v>157</v>
      </c>
      <c r="D173" s="10" t="s">
        <v>146</v>
      </c>
      <c r="E173" s="10" t="n">
        <v>8427</v>
      </c>
      <c r="F173" s="22" t="n">
        <v>4</v>
      </c>
      <c r="G173" s="22" t="n">
        <v>152182</v>
      </c>
      <c r="H173" s="10" t="s">
        <v>180</v>
      </c>
      <c r="I173" s="10" t="str">
        <f aca="false">IFERROR(VLOOKUP(E173,Parameters!$G$6:$H$15,2,FALSE()),"")</f>
        <v>Forklift trucks</v>
      </c>
      <c r="J173" s="10" t="str">
        <f aca="false">IFERROR(INDEX(Name_Map!$B$2:$B$102,MATCH(D173,Name_Map!$A$2:$A$102,0)),D173)</f>
        <v>Transcargo Pesados S.A.S.</v>
      </c>
      <c r="K173" s="22" t="n">
        <f aca="false">IF(F173&gt;0,G173/F173,0)</f>
        <v>38045.5</v>
      </c>
      <c r="L173" s="10" t="str">
        <f aca="false">IF(AND(COUNTIFS($A$2:$A$307,A173,$E$2:$E$307,E173)&gt;1,COUNTIFS($A$2:$A$307,A173,$E$2:$E$307,E173,$G$2:$G$307,G173)=COUNTIFS($A$2:$A$307,A173,$E$2:$E$307,E173)),"CHECK","OK")</f>
        <v>OK</v>
      </c>
      <c r="M173" s="22" t="n">
        <f aca="false">IF(L173="CHECK",G173/SUMIFS($F$2:$F$307,$A$2:$A$307,A173,$E$2:$E$307,E173),K173)</f>
        <v>38045.5</v>
      </c>
      <c r="N173" s="10" t="str">
        <f aca="false">IF(COUNTIF(Parameters!$E$6:$E$13,H173)&gt;0,"Yes","No")</f>
        <v>No</v>
      </c>
      <c r="O173" s="10" t="str">
        <f aca="false">IF(M173&lt;=Parameters!$B$3,IF(COUNTIF(Parameters!$A$6:$A$7,E173)&gt;0,"Vehicles","Out of scope"),IF(COUNTIF(Parameters!$C$6:$C$14,E173)&gt;0,"H&amp;H","Out of scope"))</f>
        <v>H&amp;H</v>
      </c>
      <c r="P173" s="22" t="n">
        <f aca="false">M173*F173</f>
        <v>152182</v>
      </c>
    </row>
    <row r="174" customFormat="false" ht="15" hidden="false" customHeight="false" outlineLevel="0" collapsed="false">
      <c r="A174" s="10" t="s">
        <v>305</v>
      </c>
      <c r="B174" s="21" t="n">
        <v>45865</v>
      </c>
      <c r="C174" s="10" t="s">
        <v>157</v>
      </c>
      <c r="D174" s="10" t="s">
        <v>146</v>
      </c>
      <c r="E174" s="10" t="n">
        <v>8427</v>
      </c>
      <c r="F174" s="22" t="n">
        <v>3</v>
      </c>
      <c r="G174" s="22" t="n">
        <v>99791</v>
      </c>
      <c r="H174" s="10" t="s">
        <v>180</v>
      </c>
      <c r="I174" s="10" t="str">
        <f aca="false">IFERROR(VLOOKUP(E174,Parameters!$G$6:$H$15,2,FALSE()),"")</f>
        <v>Forklift trucks</v>
      </c>
      <c r="J174" s="10" t="str">
        <f aca="false">IFERROR(INDEX(Name_Map!$B$2:$B$102,MATCH(D174,Name_Map!$A$2:$A$102,0)),D174)</f>
        <v>Transcargo Pesados S.A.S.</v>
      </c>
      <c r="K174" s="22" t="n">
        <f aca="false">IF(F174&gt;0,G174/F174,0)</f>
        <v>33263.6666666667</v>
      </c>
      <c r="L174" s="10" t="str">
        <f aca="false">IF(AND(COUNTIFS($A$2:$A$307,A174,$E$2:$E$307,E174)&gt;1,COUNTIFS($A$2:$A$307,A174,$E$2:$E$307,E174,$G$2:$G$307,G174)=COUNTIFS($A$2:$A$307,A174,$E$2:$E$307,E174)),"CHECK","OK")</f>
        <v>OK</v>
      </c>
      <c r="M174" s="22" t="n">
        <f aca="false">IF(L174="CHECK",G174/SUMIFS($F$2:$F$307,$A$2:$A$307,A174,$E$2:$E$307,E174),K174)</f>
        <v>33263.6666666667</v>
      </c>
      <c r="N174" s="10" t="str">
        <f aca="false">IF(COUNTIF(Parameters!$E$6:$E$13,H174)&gt;0,"Yes","No")</f>
        <v>No</v>
      </c>
      <c r="O174" s="10" t="str">
        <f aca="false">IF(M174&lt;=Parameters!$B$3,IF(COUNTIF(Parameters!$A$6:$A$7,E174)&gt;0,"Vehicles","Out of scope"),IF(COUNTIF(Parameters!$C$6:$C$14,E174)&gt;0,"H&amp;H","Out of scope"))</f>
        <v>H&amp;H</v>
      </c>
      <c r="P174" s="22" t="n">
        <f aca="false">M174*F174</f>
        <v>99791</v>
      </c>
    </row>
    <row r="175" customFormat="false" ht="15" hidden="false" customHeight="false" outlineLevel="0" collapsed="false">
      <c r="A175" s="10" t="s">
        <v>306</v>
      </c>
      <c r="B175" s="21" t="n">
        <v>45868</v>
      </c>
      <c r="C175" s="10" t="s">
        <v>161</v>
      </c>
      <c r="D175" s="10" t="s">
        <v>97</v>
      </c>
      <c r="E175" s="10" t="n">
        <v>8430</v>
      </c>
      <c r="F175" s="22" t="n">
        <v>4</v>
      </c>
      <c r="G175" s="22" t="n">
        <v>109004</v>
      </c>
      <c r="H175" s="10" t="s">
        <v>35</v>
      </c>
      <c r="I175" s="10" t="str">
        <f aca="false">IFERROR(VLOOKUP(E175,Parameters!$G$6:$H$15,2,FALSE()),"")</f>
        <v>Other earthmoving / drilling machinery</v>
      </c>
      <c r="J175" s="10" t="str">
        <f aca="false">IFERROR(INDEX(Name_Map!$B$2:$B$102,MATCH(D175,Name_Map!$A$2:$A$102,0)),D175)</f>
        <v>Darien Construcciones S.A.</v>
      </c>
      <c r="K175" s="22" t="n">
        <f aca="false">IF(F175&gt;0,G175/F175,0)</f>
        <v>27251</v>
      </c>
      <c r="L175" s="10" t="str">
        <f aca="false">IF(AND(COUNTIFS($A$2:$A$307,A175,$E$2:$E$307,E175)&gt;1,COUNTIFS($A$2:$A$307,A175,$E$2:$E$307,E175,$G$2:$G$307,G175)=COUNTIFS($A$2:$A$307,A175,$E$2:$E$307,E175)),"CHECK","OK")</f>
        <v>OK</v>
      </c>
      <c r="M175" s="22" t="n">
        <f aca="false">IF(L175="CHECK",G175/SUMIFS($F$2:$F$307,$A$2:$A$307,A175,$E$2:$E$307,E175),K175)</f>
        <v>27251</v>
      </c>
      <c r="N175" s="10" t="str">
        <f aca="false">IF(COUNTIF(Parameters!$E$6:$E$13,H175)&gt;0,"Yes","No")</f>
        <v>Yes</v>
      </c>
      <c r="O175" s="10" t="str">
        <f aca="false">IF(M175&lt;=Parameters!$B$3,IF(COUNTIF(Parameters!$A$6:$A$7,E175)&gt;0,"Vehicles","Out of scope"),IF(COUNTIF(Parameters!$C$6:$C$14,E175)&gt;0,"H&amp;H","Out of scope"))</f>
        <v>H&amp;H</v>
      </c>
      <c r="P175" s="22" t="n">
        <f aca="false">M175*F175</f>
        <v>109004</v>
      </c>
    </row>
    <row r="176" customFormat="false" ht="15" hidden="false" customHeight="false" outlineLevel="0" collapsed="false">
      <c r="A176" s="10" t="s">
        <v>307</v>
      </c>
      <c r="B176" s="21" t="n">
        <v>45872</v>
      </c>
      <c r="C176" s="10" t="s">
        <v>157</v>
      </c>
      <c r="D176" s="10" t="s">
        <v>76</v>
      </c>
      <c r="E176" s="10" t="n">
        <v>8703</v>
      </c>
      <c r="F176" s="22" t="n">
        <v>29</v>
      </c>
      <c r="G176" s="22" t="n">
        <v>62219</v>
      </c>
      <c r="H176" s="10" t="s">
        <v>33</v>
      </c>
      <c r="I176" s="10" t="str">
        <f aca="false">IFERROR(VLOOKUP(E176,Parameters!$G$6:$H$15,2,FALSE()),"")</f>
        <v>Passenger cars</v>
      </c>
      <c r="J176" s="10" t="str">
        <f aca="false">IFERROR(INDEX(Name_Map!$B$2:$B$102,MATCH(D176,Name_Map!$A$2:$A$102,0)),D176)</f>
        <v>Caribe Motores S.A.S.</v>
      </c>
      <c r="K176" s="22" t="n">
        <f aca="false">IF(F176&gt;0,G176/F176,0)</f>
        <v>2145.48275862069</v>
      </c>
      <c r="L176" s="10" t="str">
        <f aca="false">IF(AND(COUNTIFS($A$2:$A$307,A176,$E$2:$E$307,E176)&gt;1,COUNTIFS($A$2:$A$307,A176,$E$2:$E$307,E176,$G$2:$G$307,G176)=COUNTIFS($A$2:$A$307,A176,$E$2:$E$307,E176)),"CHECK","OK")</f>
        <v>OK</v>
      </c>
      <c r="M176" s="22" t="n">
        <f aca="false">IF(L176="CHECK",G176/SUMIFS($F$2:$F$307,$A$2:$A$307,A176,$E$2:$E$307,E176),K176)</f>
        <v>2145.48275862069</v>
      </c>
      <c r="N176" s="10" t="str">
        <f aca="false">IF(COUNTIF(Parameters!$E$6:$E$13,H176)&gt;0,"Yes","No")</f>
        <v>Yes</v>
      </c>
      <c r="O176" s="10" t="str">
        <f aca="false">IF(M176&lt;=Parameters!$B$3,IF(COUNTIF(Parameters!$A$6:$A$7,E176)&gt;0,"Vehicles","Out of scope"),IF(COUNTIF(Parameters!$C$6:$C$14,E176)&gt;0,"H&amp;H","Out of scope"))</f>
        <v>Vehicles</v>
      </c>
      <c r="P176" s="22" t="n">
        <f aca="false">M176*F176</f>
        <v>62219</v>
      </c>
    </row>
    <row r="177" customFormat="false" ht="15" hidden="false" customHeight="false" outlineLevel="0" collapsed="false">
      <c r="A177" s="10" t="s">
        <v>308</v>
      </c>
      <c r="B177" s="21" t="n">
        <v>45876</v>
      </c>
      <c r="C177" s="10" t="s">
        <v>159</v>
      </c>
      <c r="D177" s="10" t="s">
        <v>107</v>
      </c>
      <c r="E177" s="10" t="n">
        <v>8703</v>
      </c>
      <c r="F177" s="22" t="n">
        <v>22</v>
      </c>
      <c r="G177" s="22" t="n">
        <v>52706</v>
      </c>
      <c r="H177" s="10" t="s">
        <v>214</v>
      </c>
      <c r="I177" s="10" t="str">
        <f aca="false">IFERROR(VLOOKUP(E177,Parameters!$G$6:$H$15,2,FALSE()),"")</f>
        <v>Passenger cars</v>
      </c>
      <c r="J177" s="10" t="str">
        <f aca="false">IFERROR(INDEX(Name_Map!$B$2:$B$102,MATCH(D177,Name_Map!$A$2:$A$102,0)),D177)</f>
        <v>Guayas Autos S.A.</v>
      </c>
      <c r="K177" s="22" t="n">
        <f aca="false">IF(F177&gt;0,G177/F177,0)</f>
        <v>2395.72727272727</v>
      </c>
      <c r="L177" s="10" t="str">
        <f aca="false">IF(AND(COUNTIFS($A$2:$A$307,A177,$E$2:$E$307,E177)&gt;1,COUNTIFS($A$2:$A$307,A177,$E$2:$E$307,E177,$G$2:$G$307,G177)=COUNTIFS($A$2:$A$307,A177,$E$2:$E$307,E177)),"CHECK","OK")</f>
        <v>OK</v>
      </c>
      <c r="M177" s="22" t="n">
        <f aca="false">IF(L177="CHECK",G177/SUMIFS($F$2:$F$307,$A$2:$A$307,A177,$E$2:$E$307,E177),K177)</f>
        <v>2395.72727272727</v>
      </c>
      <c r="N177" s="10" t="str">
        <f aca="false">IF(COUNTIF(Parameters!$E$6:$E$13,H177)&gt;0,"Yes","No")</f>
        <v>No</v>
      </c>
      <c r="O177" s="10" t="str">
        <f aca="false">IF(M177&lt;=Parameters!$B$3,IF(COUNTIF(Parameters!$A$6:$A$7,E177)&gt;0,"Vehicles","Out of scope"),IF(COUNTIF(Parameters!$C$6:$C$14,E177)&gt;0,"H&amp;H","Out of scope"))</f>
        <v>Vehicles</v>
      </c>
      <c r="P177" s="22" t="n">
        <f aca="false">M177*F177</f>
        <v>52706</v>
      </c>
    </row>
    <row r="178" customFormat="false" ht="15" hidden="false" customHeight="false" outlineLevel="0" collapsed="false">
      <c r="A178" s="10" t="s">
        <v>309</v>
      </c>
      <c r="B178" s="21" t="n">
        <v>45877</v>
      </c>
      <c r="C178" s="10" t="s">
        <v>156</v>
      </c>
      <c r="D178" s="10" t="s">
        <v>131</v>
      </c>
      <c r="E178" s="10" t="n">
        <v>8703</v>
      </c>
      <c r="F178" s="22" t="n">
        <v>34</v>
      </c>
      <c r="G178" s="22" t="n">
        <v>73446</v>
      </c>
      <c r="H178" s="10" t="s">
        <v>214</v>
      </c>
      <c r="I178" s="10" t="str">
        <f aca="false">IFERROR(VLOOKUP(E178,Parameters!$G$6:$H$15,2,FALSE()),"")</f>
        <v>Passenger cars</v>
      </c>
      <c r="J178" s="10" t="str">
        <f aca="false">IFERROR(INDEX(Name_Map!$B$2:$B$102,MATCH(D178,Name_Map!$A$2:$A$102,0)),D178)</f>
        <v>Pacifico Autos Ltda.</v>
      </c>
      <c r="K178" s="22" t="n">
        <f aca="false">IF(F178&gt;0,G178/F178,0)</f>
        <v>2160.17647058824</v>
      </c>
      <c r="L178" s="10" t="str">
        <f aca="false">IF(AND(COUNTIFS($A$2:$A$307,A178,$E$2:$E$307,E178)&gt;1,COUNTIFS($A$2:$A$307,A178,$E$2:$E$307,E178,$G$2:$G$307,G178)=COUNTIFS($A$2:$A$307,A178,$E$2:$E$307,E178)),"CHECK","OK")</f>
        <v>OK</v>
      </c>
      <c r="M178" s="22" t="n">
        <f aca="false">IF(L178="CHECK",G178/SUMIFS($F$2:$F$307,$A$2:$A$307,A178,$E$2:$E$307,E178),K178)</f>
        <v>2160.17647058824</v>
      </c>
      <c r="N178" s="10" t="str">
        <f aca="false">IF(COUNTIF(Parameters!$E$6:$E$13,H178)&gt;0,"Yes","No")</f>
        <v>No</v>
      </c>
      <c r="O178" s="10" t="str">
        <f aca="false">IF(M178&lt;=Parameters!$B$3,IF(COUNTIF(Parameters!$A$6:$A$7,E178)&gt;0,"Vehicles","Out of scope"),IF(COUNTIF(Parameters!$C$6:$C$14,E178)&gt;0,"H&amp;H","Out of scope"))</f>
        <v>Vehicles</v>
      </c>
      <c r="P178" s="22" t="n">
        <f aca="false">M178*F178</f>
        <v>73446</v>
      </c>
    </row>
    <row r="179" customFormat="false" ht="15" hidden="false" customHeight="false" outlineLevel="0" collapsed="false">
      <c r="A179" s="10" t="s">
        <v>310</v>
      </c>
      <c r="B179" s="21" t="n">
        <v>45878</v>
      </c>
      <c r="C179" s="10" t="s">
        <v>159</v>
      </c>
      <c r="D179" s="10" t="s">
        <v>99</v>
      </c>
      <c r="E179" s="10" t="n">
        <v>8703</v>
      </c>
      <c r="F179" s="22" t="n">
        <v>16</v>
      </c>
      <c r="G179" s="22" t="n">
        <v>32010</v>
      </c>
      <c r="H179" s="10" t="s">
        <v>29</v>
      </c>
      <c r="I179" s="10" t="str">
        <f aca="false">IFERROR(VLOOKUP(E179,Parameters!$G$6:$H$15,2,FALSE()),"")</f>
        <v>Passenger cars</v>
      </c>
      <c r="J179" s="10" t="str">
        <f aca="false">IFERROR(INDEX(Name_Map!$B$2:$B$102,MATCH(D179,Name_Map!$A$2:$A$102,0)),D179)</f>
        <v>Ecuamotors Cia. Ltda.</v>
      </c>
      <c r="K179" s="22" t="n">
        <f aca="false">IF(F179&gt;0,G179/F179,0)</f>
        <v>2000.625</v>
      </c>
      <c r="L179" s="10" t="str">
        <f aca="false">IF(AND(COUNTIFS($A$2:$A$307,A179,$E$2:$E$307,E179)&gt;1,COUNTIFS($A$2:$A$307,A179,$E$2:$E$307,E179,$G$2:$G$307,G179)=COUNTIFS($A$2:$A$307,A179,$E$2:$E$307,E179)),"CHECK","OK")</f>
        <v>OK</v>
      </c>
      <c r="M179" s="22" t="n">
        <f aca="false">IF(L179="CHECK",G179/SUMIFS($F$2:$F$307,$A$2:$A$307,A179,$E$2:$E$307,E179),K179)</f>
        <v>2000.625</v>
      </c>
      <c r="N179" s="10" t="str">
        <f aca="false">IF(COUNTIF(Parameters!$E$6:$E$13,H179)&gt;0,"Yes","No")</f>
        <v>Yes</v>
      </c>
      <c r="O179" s="10" t="str">
        <f aca="false">IF(M179&lt;=Parameters!$B$3,IF(COUNTIF(Parameters!$A$6:$A$7,E179)&gt;0,"Vehicles","Out of scope"),IF(COUNTIF(Parameters!$C$6:$C$14,E179)&gt;0,"H&amp;H","Out of scope"))</f>
        <v>Vehicles</v>
      </c>
      <c r="P179" s="22" t="n">
        <f aca="false">M179*F179</f>
        <v>32010</v>
      </c>
    </row>
    <row r="180" customFormat="false" ht="15" hidden="false" customHeight="false" outlineLevel="0" collapsed="false">
      <c r="A180" s="10" t="s">
        <v>311</v>
      </c>
      <c r="B180" s="21" t="n">
        <v>45882</v>
      </c>
      <c r="C180" s="10" t="s">
        <v>160</v>
      </c>
      <c r="D180" s="10" t="s">
        <v>140</v>
      </c>
      <c r="E180" s="10" t="n">
        <v>8703</v>
      </c>
      <c r="F180" s="22" t="n">
        <v>25</v>
      </c>
      <c r="G180" s="22" t="n">
        <v>48354</v>
      </c>
      <c r="H180" s="10" t="s">
        <v>29</v>
      </c>
      <c r="I180" s="10" t="str">
        <f aca="false">IFERROR(VLOOKUP(E180,Parameters!$G$6:$H$15,2,FALSE()),"")</f>
        <v>Passenger cars</v>
      </c>
      <c r="J180" s="10" t="str">
        <f aca="false">IFERROR(INDEX(Name_Map!$B$2:$B$102,MATCH(D180,Name_Map!$A$2:$A$102,0)),D180)</f>
        <v>Quisqueya Motors S.R.L.</v>
      </c>
      <c r="K180" s="22" t="n">
        <f aca="false">IF(F180&gt;0,G180/F180,0)</f>
        <v>1934.16</v>
      </c>
      <c r="L180" s="10" t="str">
        <f aca="false">IF(AND(COUNTIFS($A$2:$A$307,A180,$E$2:$E$307,E180)&gt;1,COUNTIFS($A$2:$A$307,A180,$E$2:$E$307,E180,$G$2:$G$307,G180)=COUNTIFS($A$2:$A$307,A180,$E$2:$E$307,E180)),"CHECK","OK")</f>
        <v>OK</v>
      </c>
      <c r="M180" s="22" t="n">
        <f aca="false">IF(L180="CHECK",G180/SUMIFS($F$2:$F$307,$A$2:$A$307,A180,$E$2:$E$307,E180),K180)</f>
        <v>1934.16</v>
      </c>
      <c r="N180" s="10" t="str">
        <f aca="false">IF(COUNTIF(Parameters!$E$6:$E$13,H180)&gt;0,"Yes","No")</f>
        <v>Yes</v>
      </c>
      <c r="O180" s="10" t="str">
        <f aca="false">IF(M180&lt;=Parameters!$B$3,IF(COUNTIF(Parameters!$A$6:$A$7,E180)&gt;0,"Vehicles","Out of scope"),IF(COUNTIF(Parameters!$C$6:$C$14,E180)&gt;0,"H&amp;H","Out of scope"))</f>
        <v>Vehicles</v>
      </c>
      <c r="P180" s="22" t="n">
        <f aca="false">M180*F180</f>
        <v>48354</v>
      </c>
    </row>
    <row r="181" customFormat="false" ht="15" hidden="false" customHeight="false" outlineLevel="0" collapsed="false">
      <c r="A181" s="10" t="s">
        <v>311</v>
      </c>
      <c r="B181" s="21" t="n">
        <v>45882</v>
      </c>
      <c r="C181" s="10" t="s">
        <v>160</v>
      </c>
      <c r="D181" s="10" t="s">
        <v>138</v>
      </c>
      <c r="E181" s="10" t="n">
        <v>8704</v>
      </c>
      <c r="F181" s="22" t="n">
        <v>11</v>
      </c>
      <c r="G181" s="22" t="n">
        <v>85429</v>
      </c>
      <c r="H181" s="10" t="s">
        <v>29</v>
      </c>
      <c r="I181" s="10" t="str">
        <f aca="false">IFERROR(VLOOKUP(E181,Parameters!$G$6:$H$15,2,FALSE()),"")</f>
        <v>Goods vehicles (trucks)</v>
      </c>
      <c r="J181" s="10" t="str">
        <f aca="false">IFERROR(INDEX(Name_Map!$B$2:$B$102,MATCH(D181,Name_Map!$A$2:$A$102,0)),D181)</f>
        <v>Quisqueya Motors S.R.L.</v>
      </c>
      <c r="K181" s="22" t="n">
        <f aca="false">IF(F181&gt;0,G181/F181,0)</f>
        <v>7766.27272727273</v>
      </c>
      <c r="L181" s="10" t="str">
        <f aca="false">IF(AND(COUNTIFS($A$2:$A$307,A181,$E$2:$E$307,E181)&gt;1,COUNTIFS($A$2:$A$307,A181,$E$2:$E$307,E181,$G$2:$G$307,G181)=COUNTIFS($A$2:$A$307,A181,$E$2:$E$307,E181)),"CHECK","OK")</f>
        <v>OK</v>
      </c>
      <c r="M181" s="22" t="n">
        <f aca="false">IF(L181="CHECK",G181/SUMIFS($F$2:$F$307,$A$2:$A$307,A181,$E$2:$E$307,E181),K181)</f>
        <v>7766.27272727273</v>
      </c>
      <c r="N181" s="10" t="str">
        <f aca="false">IF(COUNTIF(Parameters!$E$6:$E$13,H181)&gt;0,"Yes","No")</f>
        <v>Yes</v>
      </c>
      <c r="O181" s="10" t="str">
        <f aca="false">IF(M181&lt;=Parameters!$B$3,IF(COUNTIF(Parameters!$A$6:$A$7,E181)&gt;0,"Vehicles","Out of scope"),IF(COUNTIF(Parameters!$C$6:$C$14,E181)&gt;0,"H&amp;H","Out of scope"))</f>
        <v>Vehicles</v>
      </c>
      <c r="P181" s="22" t="n">
        <f aca="false">M181*F181</f>
        <v>85429</v>
      </c>
    </row>
    <row r="182" customFormat="false" ht="15" hidden="false" customHeight="false" outlineLevel="0" collapsed="false">
      <c r="A182" s="10" t="s">
        <v>312</v>
      </c>
      <c r="B182" s="21" t="n">
        <v>45882</v>
      </c>
      <c r="C182" s="10" t="s">
        <v>158</v>
      </c>
      <c r="D182" s="10" t="s">
        <v>119</v>
      </c>
      <c r="E182" s="10" t="n">
        <v>8703</v>
      </c>
      <c r="F182" s="22" t="n">
        <v>40</v>
      </c>
      <c r="G182" s="22" t="n">
        <v>66509</v>
      </c>
      <c r="H182" s="10" t="s">
        <v>27</v>
      </c>
      <c r="I182" s="10" t="str">
        <f aca="false">IFERROR(VLOOKUP(E182,Parameters!$G$6:$H$15,2,FALSE()),"")</f>
        <v>Passenger cars</v>
      </c>
      <c r="J182" s="10" t="str">
        <f aca="false">IFERROR(INDEX(Name_Map!$B$2:$B$102,MATCH(D182,Name_Map!$A$2:$A$102,0)),D182)</f>
        <v>Lima Car Import S.A.C.</v>
      </c>
      <c r="K182" s="22" t="n">
        <f aca="false">IF(F182&gt;0,G182/F182,0)</f>
        <v>1662.725</v>
      </c>
      <c r="L182" s="10" t="str">
        <f aca="false">IF(AND(COUNTIFS($A$2:$A$307,A182,$E$2:$E$307,E182)&gt;1,COUNTIFS($A$2:$A$307,A182,$E$2:$E$307,E182,$G$2:$G$307,G182)=COUNTIFS($A$2:$A$307,A182,$E$2:$E$307,E182)),"CHECK","OK")</f>
        <v>OK</v>
      </c>
      <c r="M182" s="22" t="n">
        <f aca="false">IF(L182="CHECK",G182/SUMIFS($F$2:$F$307,$A$2:$A$307,A182,$E$2:$E$307,E182),K182)</f>
        <v>1662.725</v>
      </c>
      <c r="N182" s="10" t="str">
        <f aca="false">IF(COUNTIF(Parameters!$E$6:$E$13,H182)&gt;0,"Yes","No")</f>
        <v>Yes</v>
      </c>
      <c r="O182" s="10" t="str">
        <f aca="false">IF(M182&lt;=Parameters!$B$3,IF(COUNTIF(Parameters!$A$6:$A$7,E182)&gt;0,"Vehicles","Out of scope"),IF(COUNTIF(Parameters!$C$6:$C$14,E182)&gt;0,"H&amp;H","Out of scope"))</f>
        <v>Vehicles</v>
      </c>
      <c r="P182" s="22" t="n">
        <f aca="false">M182*F182</f>
        <v>66509</v>
      </c>
    </row>
    <row r="183" customFormat="false" ht="15" hidden="false" customHeight="false" outlineLevel="0" collapsed="false">
      <c r="A183" s="10" t="s">
        <v>312</v>
      </c>
      <c r="B183" s="21" t="n">
        <v>45882</v>
      </c>
      <c r="C183" s="10" t="s">
        <v>158</v>
      </c>
      <c r="D183" s="10" t="s">
        <v>123</v>
      </c>
      <c r="E183" s="10" t="n">
        <v>8704</v>
      </c>
      <c r="F183" s="22" t="n">
        <v>38</v>
      </c>
      <c r="G183" s="22" t="n">
        <v>266428</v>
      </c>
      <c r="H183" s="10" t="s">
        <v>27</v>
      </c>
      <c r="I183" s="10" t="str">
        <f aca="false">IFERROR(VLOOKUP(E183,Parameters!$G$6:$H$15,2,FALSE()),"")</f>
        <v>Goods vehicles (trucks)</v>
      </c>
      <c r="J183" s="10" t="str">
        <f aca="false">IFERROR(INDEX(Name_Map!$B$2:$B$102,MATCH(D183,Name_Map!$A$2:$A$102,0)),D183)</f>
        <v>Lima Car Import S.A.C.</v>
      </c>
      <c r="K183" s="22" t="n">
        <f aca="false">IF(F183&gt;0,G183/F183,0)</f>
        <v>7011.26315789474</v>
      </c>
      <c r="L183" s="10" t="str">
        <f aca="false">IF(AND(COUNTIFS($A$2:$A$307,A183,$E$2:$E$307,E183)&gt;1,COUNTIFS($A$2:$A$307,A183,$E$2:$E$307,E183,$G$2:$G$307,G183)=COUNTIFS($A$2:$A$307,A183,$E$2:$E$307,E183)),"CHECK","OK")</f>
        <v>OK</v>
      </c>
      <c r="M183" s="22" t="n">
        <f aca="false">IF(L183="CHECK",G183/SUMIFS($F$2:$F$307,$A$2:$A$307,A183,$E$2:$E$307,E183),K183)</f>
        <v>7011.26315789474</v>
      </c>
      <c r="N183" s="10" t="str">
        <f aca="false">IF(COUNTIF(Parameters!$E$6:$E$13,H183)&gt;0,"Yes","No")</f>
        <v>Yes</v>
      </c>
      <c r="O183" s="10" t="str">
        <f aca="false">IF(M183&lt;=Parameters!$B$3,IF(COUNTIF(Parameters!$A$6:$A$7,E183)&gt;0,"Vehicles","Out of scope"),IF(COUNTIF(Parameters!$C$6:$C$14,E183)&gt;0,"H&amp;H","Out of scope"))</f>
        <v>Vehicles</v>
      </c>
      <c r="P183" s="22" t="n">
        <f aca="false">M183*F183</f>
        <v>266428</v>
      </c>
    </row>
    <row r="184" customFormat="false" ht="15" hidden="false" customHeight="false" outlineLevel="0" collapsed="false">
      <c r="A184" s="10" t="s">
        <v>313</v>
      </c>
      <c r="B184" s="21" t="n">
        <v>45884</v>
      </c>
      <c r="C184" s="10" t="s">
        <v>156</v>
      </c>
      <c r="D184" s="10" t="s">
        <v>56</v>
      </c>
      <c r="E184" s="10" t="n">
        <v>8702</v>
      </c>
      <c r="F184" s="22" t="n">
        <v>1</v>
      </c>
      <c r="G184" s="22" t="n">
        <v>60855</v>
      </c>
      <c r="H184" s="10" t="s">
        <v>39</v>
      </c>
      <c r="I184" s="10" t="str">
        <f aca="false">IFERROR(VLOOKUP(E184,Parameters!$G$6:$H$15,2,FALSE()),"")</f>
        <v>Buses</v>
      </c>
      <c r="J184" s="10" t="str">
        <f aca="false">IFERROR(INDEX(Name_Map!$B$2:$B$102,MATCH(D184,Name_Map!$A$2:$A$102,0)),D184)</f>
        <v>Austral Truck Center SpA</v>
      </c>
      <c r="K184" s="22" t="n">
        <f aca="false">IF(F184&gt;0,G184/F184,0)</f>
        <v>60855</v>
      </c>
      <c r="L184" s="10" t="str">
        <f aca="false">IF(AND(COUNTIFS($A$2:$A$307,A184,$E$2:$E$307,E184)&gt;1,COUNTIFS($A$2:$A$307,A184,$E$2:$E$307,E184,$G$2:$G$307,G184)=COUNTIFS($A$2:$A$307,A184,$E$2:$E$307,E184)),"CHECK","OK")</f>
        <v>OK</v>
      </c>
      <c r="M184" s="22" t="n">
        <f aca="false">IF(L184="CHECK",G184/SUMIFS($F$2:$F$307,$A$2:$A$307,A184,$E$2:$E$307,E184),K184)</f>
        <v>60855</v>
      </c>
      <c r="N184" s="10" t="str">
        <f aca="false">IF(COUNTIF(Parameters!$E$6:$E$13,H184)&gt;0,"Yes","No")</f>
        <v>Yes</v>
      </c>
      <c r="O184" s="10" t="str">
        <f aca="false">IF(M184&lt;=Parameters!$B$3,IF(COUNTIF(Parameters!$A$6:$A$7,E184)&gt;0,"Vehicles","Out of scope"),IF(COUNTIF(Parameters!$C$6:$C$14,E184)&gt;0,"H&amp;H","Out of scope"))</f>
        <v>H&amp;H</v>
      </c>
      <c r="P184" s="22" t="n">
        <f aca="false">M184*F184</f>
        <v>60855</v>
      </c>
    </row>
    <row r="185" customFormat="false" ht="15" hidden="false" customHeight="false" outlineLevel="0" collapsed="false">
      <c r="A185" s="10" t="s">
        <v>314</v>
      </c>
      <c r="B185" s="21" t="n">
        <v>45884</v>
      </c>
      <c r="C185" s="10" t="s">
        <v>161</v>
      </c>
      <c r="D185" s="10" t="s">
        <v>74</v>
      </c>
      <c r="E185" s="10" t="n">
        <v>8704</v>
      </c>
      <c r="F185" s="22" t="n">
        <v>30</v>
      </c>
      <c r="G185" s="22" t="n">
        <v>264736</v>
      </c>
      <c r="H185" s="10" t="s">
        <v>33</v>
      </c>
      <c r="I185" s="10" t="str">
        <f aca="false">IFERROR(VLOOKUP(E185,Parameters!$G$6:$H$15,2,FALSE()),"")</f>
        <v>Goods vehicles (trucks)</v>
      </c>
      <c r="J185" s="10" t="str">
        <f aca="false">IFERROR(INDEX(Name_Map!$B$2:$B$102,MATCH(D185,Name_Map!$A$2:$A$102,0)),D185)</f>
        <v>Canal Autos S.A.</v>
      </c>
      <c r="K185" s="22" t="n">
        <f aca="false">IF(F185&gt;0,G185/F185,0)</f>
        <v>8824.53333333333</v>
      </c>
      <c r="L185" s="10" t="str">
        <f aca="false">IF(AND(COUNTIFS($A$2:$A$307,A185,$E$2:$E$307,E185)&gt;1,COUNTIFS($A$2:$A$307,A185,$E$2:$E$307,E185,$G$2:$G$307,G185)=COUNTIFS($A$2:$A$307,A185,$E$2:$E$307,E185)),"CHECK","OK")</f>
        <v>OK</v>
      </c>
      <c r="M185" s="22" t="n">
        <f aca="false">IF(L185="CHECK",G185/SUMIFS($F$2:$F$307,$A$2:$A$307,A185,$E$2:$E$307,E185),K185)</f>
        <v>8824.53333333333</v>
      </c>
      <c r="N185" s="10" t="str">
        <f aca="false">IF(COUNTIF(Parameters!$E$6:$E$13,H185)&gt;0,"Yes","No")</f>
        <v>Yes</v>
      </c>
      <c r="O185" s="10" t="str">
        <f aca="false">IF(M185&lt;=Parameters!$B$3,IF(COUNTIF(Parameters!$A$6:$A$7,E185)&gt;0,"Vehicles","Out of scope"),IF(COUNTIF(Parameters!$C$6:$C$14,E185)&gt;0,"H&amp;H","Out of scope"))</f>
        <v>Vehicles</v>
      </c>
      <c r="P185" s="22" t="n">
        <f aca="false">M185*F185</f>
        <v>264736</v>
      </c>
    </row>
    <row r="186" customFormat="false" ht="15" hidden="false" customHeight="false" outlineLevel="0" collapsed="false">
      <c r="A186" s="10" t="s">
        <v>315</v>
      </c>
      <c r="B186" s="21" t="n">
        <v>45888</v>
      </c>
      <c r="C186" s="10" t="s">
        <v>157</v>
      </c>
      <c r="D186" s="10" t="s">
        <v>70</v>
      </c>
      <c r="E186" s="10" t="n">
        <v>8704</v>
      </c>
      <c r="F186" s="22" t="n">
        <v>2</v>
      </c>
      <c r="G186" s="22" t="n">
        <v>36972</v>
      </c>
      <c r="H186" s="10" t="s">
        <v>33</v>
      </c>
      <c r="I186" s="10" t="str">
        <f aca="false">IFERROR(VLOOKUP(E186,Parameters!$G$6:$H$15,2,FALSE()),"")</f>
        <v>Goods vehicles (trucks)</v>
      </c>
      <c r="J186" s="10" t="str">
        <f aca="false">IFERROR(INDEX(Name_Map!$B$2:$B$102,MATCH(D186,Name_Map!$A$2:$A$102,0)),D186)</f>
        <v>Bogota Car Import S.A.S.</v>
      </c>
      <c r="K186" s="22" t="n">
        <f aca="false">IF(F186&gt;0,G186/F186,0)</f>
        <v>18486</v>
      </c>
      <c r="L186" s="10" t="str">
        <f aca="false">IF(AND(COUNTIFS($A$2:$A$307,A186,$E$2:$E$307,E186)&gt;1,COUNTIFS($A$2:$A$307,A186,$E$2:$E$307,E186,$G$2:$G$307,G186)=COUNTIFS($A$2:$A$307,A186,$E$2:$E$307,E186)),"CHECK","OK")</f>
        <v>CHECK</v>
      </c>
      <c r="M186" s="22" t="n">
        <f aca="false">IF(L186="CHECK",G186/SUMIFS($F$2:$F$307,$A$2:$A$307,A186,$E$2:$E$307,E186),K186)</f>
        <v>6162</v>
      </c>
      <c r="N186" s="10" t="str">
        <f aca="false">IF(COUNTIF(Parameters!$E$6:$E$13,H186)&gt;0,"Yes","No")</f>
        <v>Yes</v>
      </c>
      <c r="O186" s="10" t="str">
        <f aca="false">IF(M186&lt;=Parameters!$B$3,IF(COUNTIF(Parameters!$A$6:$A$7,E186)&gt;0,"Vehicles","Out of scope"),IF(COUNTIF(Parameters!$C$6:$C$14,E186)&gt;0,"H&amp;H","Out of scope"))</f>
        <v>Vehicles</v>
      </c>
      <c r="P186" s="22" t="n">
        <f aca="false">M186*F186</f>
        <v>12324</v>
      </c>
    </row>
    <row r="187" customFormat="false" ht="15" hidden="false" customHeight="false" outlineLevel="0" collapsed="false">
      <c r="A187" s="10" t="s">
        <v>315</v>
      </c>
      <c r="B187" s="21" t="n">
        <v>45888</v>
      </c>
      <c r="C187" s="10" t="s">
        <v>157</v>
      </c>
      <c r="D187" s="10" t="s">
        <v>70</v>
      </c>
      <c r="E187" s="10" t="n">
        <v>8704</v>
      </c>
      <c r="F187" s="22" t="n">
        <v>3</v>
      </c>
      <c r="G187" s="22" t="n">
        <v>36972</v>
      </c>
      <c r="H187" s="10" t="s">
        <v>35</v>
      </c>
      <c r="I187" s="10" t="str">
        <f aca="false">IFERROR(VLOOKUP(E187,Parameters!$G$6:$H$15,2,FALSE()),"")</f>
        <v>Goods vehicles (trucks)</v>
      </c>
      <c r="J187" s="10" t="str">
        <f aca="false">IFERROR(INDEX(Name_Map!$B$2:$B$102,MATCH(D187,Name_Map!$A$2:$A$102,0)),D187)</f>
        <v>Bogota Car Import S.A.S.</v>
      </c>
      <c r="K187" s="22" t="n">
        <f aca="false">IF(F187&gt;0,G187/F187,0)</f>
        <v>12324</v>
      </c>
      <c r="L187" s="10" t="str">
        <f aca="false">IF(AND(COUNTIFS($A$2:$A$307,A187,$E$2:$E$307,E187)&gt;1,COUNTIFS($A$2:$A$307,A187,$E$2:$E$307,E187,$G$2:$G$307,G187)=COUNTIFS($A$2:$A$307,A187,$E$2:$E$307,E187)),"CHECK","OK")</f>
        <v>CHECK</v>
      </c>
      <c r="M187" s="22" t="n">
        <f aca="false">IF(L187="CHECK",G187/SUMIFS($F$2:$F$307,$A$2:$A$307,A187,$E$2:$E$307,E187),K187)</f>
        <v>6162</v>
      </c>
      <c r="N187" s="10" t="str">
        <f aca="false">IF(COUNTIF(Parameters!$E$6:$E$13,H187)&gt;0,"Yes","No")</f>
        <v>Yes</v>
      </c>
      <c r="O187" s="10" t="str">
        <f aca="false">IF(M187&lt;=Parameters!$B$3,IF(COUNTIF(Parameters!$A$6:$A$7,E187)&gt;0,"Vehicles","Out of scope"),IF(COUNTIF(Parameters!$C$6:$C$14,E187)&gt;0,"H&amp;H","Out of scope"))</f>
        <v>Vehicles</v>
      </c>
      <c r="P187" s="22" t="n">
        <f aca="false">M187*F187</f>
        <v>18486</v>
      </c>
    </row>
    <row r="188" customFormat="false" ht="15" hidden="false" customHeight="false" outlineLevel="0" collapsed="false">
      <c r="A188" s="10" t="s">
        <v>315</v>
      </c>
      <c r="B188" s="21" t="n">
        <v>45888</v>
      </c>
      <c r="C188" s="10" t="s">
        <v>157</v>
      </c>
      <c r="D188" s="10" t="s">
        <v>71</v>
      </c>
      <c r="E188" s="10" t="n">
        <v>8704</v>
      </c>
      <c r="F188" s="22" t="n">
        <v>1</v>
      </c>
      <c r="G188" s="22" t="n">
        <v>36972</v>
      </c>
      <c r="H188" s="10" t="s">
        <v>41</v>
      </c>
      <c r="I188" s="10" t="str">
        <f aca="false">IFERROR(VLOOKUP(E188,Parameters!$G$6:$H$15,2,FALSE()),"")</f>
        <v>Goods vehicles (trucks)</v>
      </c>
      <c r="J188" s="10" t="str">
        <f aca="false">IFERROR(INDEX(Name_Map!$B$2:$B$102,MATCH(D188,Name_Map!$A$2:$A$102,0)),D188)</f>
        <v>Bogota Car Import S.A.S.</v>
      </c>
      <c r="K188" s="22" t="n">
        <f aca="false">IF(F188&gt;0,G188/F188,0)</f>
        <v>36972</v>
      </c>
      <c r="L188" s="10" t="str">
        <f aca="false">IF(AND(COUNTIFS($A$2:$A$307,A188,$E$2:$E$307,E188)&gt;1,COUNTIFS($A$2:$A$307,A188,$E$2:$E$307,E188,$G$2:$G$307,G188)=COUNTIFS($A$2:$A$307,A188,$E$2:$E$307,E188)),"CHECK","OK")</f>
        <v>CHECK</v>
      </c>
      <c r="M188" s="22" t="n">
        <f aca="false">IF(L188="CHECK",G188/SUMIFS($F$2:$F$307,$A$2:$A$307,A188,$E$2:$E$307,E188),K188)</f>
        <v>6162</v>
      </c>
      <c r="N188" s="10" t="str">
        <f aca="false">IF(COUNTIF(Parameters!$E$6:$E$13,H188)&gt;0,"Yes","No")</f>
        <v>Yes</v>
      </c>
      <c r="O188" s="10" t="str">
        <f aca="false">IF(M188&lt;=Parameters!$B$3,IF(COUNTIF(Parameters!$A$6:$A$7,E188)&gt;0,"Vehicles","Out of scope"),IF(COUNTIF(Parameters!$C$6:$C$14,E188)&gt;0,"H&amp;H","Out of scope"))</f>
        <v>Vehicles</v>
      </c>
      <c r="P188" s="22" t="n">
        <f aca="false">M188*F188</f>
        <v>6162</v>
      </c>
    </row>
    <row r="189" customFormat="false" ht="15" hidden="false" customHeight="false" outlineLevel="0" collapsed="false">
      <c r="A189" s="10" t="s">
        <v>316</v>
      </c>
      <c r="B189" s="21" t="n">
        <v>45889</v>
      </c>
      <c r="C189" s="10" t="s">
        <v>159</v>
      </c>
      <c r="D189" s="10" t="s">
        <v>109</v>
      </c>
      <c r="E189" s="10" t="n">
        <v>8704</v>
      </c>
      <c r="F189" s="22" t="n">
        <v>3</v>
      </c>
      <c r="G189" s="22" t="n">
        <v>8145</v>
      </c>
      <c r="H189" s="10" t="s">
        <v>27</v>
      </c>
      <c r="I189" s="10" t="str">
        <f aca="false">IFERROR(VLOOKUP(E189,Parameters!$G$6:$H$15,2,FALSE()),"")</f>
        <v>Goods vehicles (trucks)</v>
      </c>
      <c r="J189" s="10" t="str">
        <f aca="false">IFERROR(INDEX(Name_Map!$B$2:$B$102,MATCH(D189,Name_Map!$A$2:$A$102,0)),D189)</f>
        <v>Guayas Autos S.A.</v>
      </c>
      <c r="K189" s="22" t="n">
        <f aca="false">IF(F189&gt;0,G189/F189,0)</f>
        <v>2715</v>
      </c>
      <c r="L189" s="10" t="str">
        <f aca="false">IF(AND(COUNTIFS($A$2:$A$307,A189,$E$2:$E$307,E189)&gt;1,COUNTIFS($A$2:$A$307,A189,$E$2:$E$307,E189,$G$2:$G$307,G189)=COUNTIFS($A$2:$A$307,A189,$E$2:$E$307,E189)),"CHECK","OK")</f>
        <v>OK</v>
      </c>
      <c r="M189" s="22" t="n">
        <f aca="false">IF(L189="CHECK",G189/SUMIFS($F$2:$F$307,$A$2:$A$307,A189,$E$2:$E$307,E189),K189)</f>
        <v>2715</v>
      </c>
      <c r="N189" s="10" t="str">
        <f aca="false">IF(COUNTIF(Parameters!$E$6:$E$13,H189)&gt;0,"Yes","No")</f>
        <v>Yes</v>
      </c>
      <c r="O189" s="10" t="str">
        <f aca="false">IF(M189&lt;=Parameters!$B$3,IF(COUNTIF(Parameters!$A$6:$A$7,E189)&gt;0,"Vehicles","Out of scope"),IF(COUNTIF(Parameters!$C$6:$C$14,E189)&gt;0,"H&amp;H","Out of scope"))</f>
        <v>Vehicles</v>
      </c>
      <c r="P189" s="22" t="n">
        <f aca="false">M189*F189</f>
        <v>8145</v>
      </c>
    </row>
    <row r="190" customFormat="false" ht="15" hidden="false" customHeight="false" outlineLevel="0" collapsed="false">
      <c r="A190" s="10" t="s">
        <v>317</v>
      </c>
      <c r="B190" s="21" t="n">
        <v>45890</v>
      </c>
      <c r="C190" s="10" t="s">
        <v>158</v>
      </c>
      <c r="D190" s="10" t="s">
        <v>48</v>
      </c>
      <c r="E190" s="10" t="n">
        <v>8433</v>
      </c>
      <c r="F190" s="22" t="n">
        <v>1</v>
      </c>
      <c r="G190" s="22" t="n">
        <v>11748</v>
      </c>
      <c r="H190" s="10" t="s">
        <v>33</v>
      </c>
      <c r="I190" s="10" t="str">
        <f aca="false">IFERROR(VLOOKUP(E190,Parameters!$G$6:$H$15,2,FALSE()),"")</f>
        <v>Harvesting machinery</v>
      </c>
      <c r="J190" s="10" t="str">
        <f aca="false">IFERROR(INDEX(Name_Map!$B$2:$B$102,MATCH(D190,Name_Map!$A$2:$A$102,0)),D190)</f>
        <v>Altiplano Trucks S.A.C.</v>
      </c>
      <c r="K190" s="22" t="n">
        <f aca="false">IF(F190&gt;0,G190/F190,0)</f>
        <v>11748</v>
      </c>
      <c r="L190" s="10" t="str">
        <f aca="false">IF(AND(COUNTIFS($A$2:$A$307,A190,$E$2:$E$307,E190)&gt;1,COUNTIFS($A$2:$A$307,A190,$E$2:$E$307,E190,$G$2:$G$307,G190)=COUNTIFS($A$2:$A$307,A190,$E$2:$E$307,E190)),"CHECK","OK")</f>
        <v>OK</v>
      </c>
      <c r="M190" s="22" t="n">
        <f aca="false">IF(L190="CHECK",G190/SUMIFS($F$2:$F$307,$A$2:$A$307,A190,$E$2:$E$307,E190),K190)</f>
        <v>11748</v>
      </c>
      <c r="N190" s="10" t="str">
        <f aca="false">IF(COUNTIF(Parameters!$E$6:$E$13,H190)&gt;0,"Yes","No")</f>
        <v>Yes</v>
      </c>
      <c r="O190" s="10" t="str">
        <f aca="false">IF(M190&lt;=Parameters!$B$3,IF(COUNTIF(Parameters!$A$6:$A$7,E190)&gt;0,"Vehicles","Out of scope"),IF(COUNTIF(Parameters!$C$6:$C$14,E190)&gt;0,"H&amp;H","Out of scope"))</f>
        <v>Out of scope</v>
      </c>
      <c r="P190" s="22" t="n">
        <f aca="false">M190*F190</f>
        <v>11748</v>
      </c>
    </row>
    <row r="191" customFormat="false" ht="15" hidden="false" customHeight="false" outlineLevel="0" collapsed="false">
      <c r="A191" s="10" t="s">
        <v>317</v>
      </c>
      <c r="B191" s="21" t="n">
        <v>45890</v>
      </c>
      <c r="C191" s="10" t="s">
        <v>158</v>
      </c>
      <c r="D191" s="10" t="s">
        <v>48</v>
      </c>
      <c r="E191" s="10" t="n">
        <v>8433</v>
      </c>
      <c r="F191" s="22" t="n">
        <v>2</v>
      </c>
      <c r="G191" s="22" t="n">
        <v>27107</v>
      </c>
      <c r="H191" s="10" t="s">
        <v>33</v>
      </c>
      <c r="I191" s="10" t="str">
        <f aca="false">IFERROR(VLOOKUP(E191,Parameters!$G$6:$H$15,2,FALSE()),"")</f>
        <v>Harvesting machinery</v>
      </c>
      <c r="J191" s="10" t="str">
        <f aca="false">IFERROR(INDEX(Name_Map!$B$2:$B$102,MATCH(D191,Name_Map!$A$2:$A$102,0)),D191)</f>
        <v>Altiplano Trucks S.A.C.</v>
      </c>
      <c r="K191" s="22" t="n">
        <f aca="false">IF(F191&gt;0,G191/F191,0)</f>
        <v>13553.5</v>
      </c>
      <c r="L191" s="10" t="str">
        <f aca="false">IF(AND(COUNTIFS($A$2:$A$307,A191,$E$2:$E$307,E191)&gt;1,COUNTIFS($A$2:$A$307,A191,$E$2:$E$307,E191,$G$2:$G$307,G191)=COUNTIFS($A$2:$A$307,A191,$E$2:$E$307,E191)),"CHECK","OK")</f>
        <v>OK</v>
      </c>
      <c r="M191" s="22" t="n">
        <f aca="false">IF(L191="CHECK",G191/SUMIFS($F$2:$F$307,$A$2:$A$307,A191,$E$2:$E$307,E191),K191)</f>
        <v>13553.5</v>
      </c>
      <c r="N191" s="10" t="str">
        <f aca="false">IF(COUNTIF(Parameters!$E$6:$E$13,H191)&gt;0,"Yes","No")</f>
        <v>Yes</v>
      </c>
      <c r="O191" s="10" t="str">
        <f aca="false">IF(M191&lt;=Parameters!$B$3,IF(COUNTIF(Parameters!$A$6:$A$7,E191)&gt;0,"Vehicles","Out of scope"),IF(COUNTIF(Parameters!$C$6:$C$14,E191)&gt;0,"H&amp;H","Out of scope"))</f>
        <v>Out of scope</v>
      </c>
      <c r="P191" s="22" t="n">
        <f aca="false">M191*F191</f>
        <v>27107</v>
      </c>
    </row>
    <row r="192" customFormat="false" ht="15" hidden="false" customHeight="false" outlineLevel="0" collapsed="false">
      <c r="A192" s="10" t="s">
        <v>318</v>
      </c>
      <c r="B192" s="21" t="n">
        <v>45892</v>
      </c>
      <c r="C192" s="10" t="s">
        <v>156</v>
      </c>
      <c r="D192" s="10" t="s">
        <v>81</v>
      </c>
      <c r="E192" s="10" t="n">
        <v>8433</v>
      </c>
      <c r="F192" s="22" t="n">
        <v>1</v>
      </c>
      <c r="G192" s="22" t="n">
        <v>10762</v>
      </c>
      <c r="H192" s="10" t="s">
        <v>29</v>
      </c>
      <c r="I192" s="10" t="str">
        <f aca="false">IFERROR(VLOOKUP(E192,Parameters!$G$6:$H$15,2,FALSE()),"")</f>
        <v>Harvesting machinery</v>
      </c>
      <c r="J192" s="10" t="str">
        <f aca="false">IFERROR(INDEX(Name_Map!$B$2:$B$102,MATCH(D192,Name_Map!$A$2:$A$102,0)),D192)</f>
        <v>Cordillera Maquinarias SpA</v>
      </c>
      <c r="K192" s="22" t="n">
        <f aca="false">IF(F192&gt;0,G192/F192,0)</f>
        <v>10762</v>
      </c>
      <c r="L192" s="10" t="str">
        <f aca="false">IF(AND(COUNTIFS($A$2:$A$307,A192,$E$2:$E$307,E192)&gt;1,COUNTIFS($A$2:$A$307,A192,$E$2:$E$307,E192,$G$2:$G$307,G192)=COUNTIFS($A$2:$A$307,A192,$E$2:$E$307,E192)),"CHECK","OK")</f>
        <v>OK</v>
      </c>
      <c r="M192" s="22" t="n">
        <f aca="false">IF(L192="CHECK",G192/SUMIFS($F$2:$F$307,$A$2:$A$307,A192,$E$2:$E$307,E192),K192)</f>
        <v>10762</v>
      </c>
      <c r="N192" s="10" t="str">
        <f aca="false">IF(COUNTIF(Parameters!$E$6:$E$13,H192)&gt;0,"Yes","No")</f>
        <v>Yes</v>
      </c>
      <c r="O192" s="10" t="str">
        <f aca="false">IF(M192&lt;=Parameters!$B$3,IF(COUNTIF(Parameters!$A$6:$A$7,E192)&gt;0,"Vehicles","Out of scope"),IF(COUNTIF(Parameters!$C$6:$C$14,E192)&gt;0,"H&amp;H","Out of scope"))</f>
        <v>Out of scope</v>
      </c>
      <c r="P192" s="22" t="n">
        <f aca="false">M192*F192</f>
        <v>10762</v>
      </c>
    </row>
    <row r="193" customFormat="false" ht="15" hidden="false" customHeight="false" outlineLevel="0" collapsed="false">
      <c r="A193" s="10" t="s">
        <v>319</v>
      </c>
      <c r="B193" s="21" t="n">
        <v>45892</v>
      </c>
      <c r="C193" s="10" t="s">
        <v>160</v>
      </c>
      <c r="D193" s="10" t="s">
        <v>64</v>
      </c>
      <c r="E193" s="10" t="n">
        <v>8701</v>
      </c>
      <c r="F193" s="22" t="n">
        <v>1</v>
      </c>
      <c r="G193" s="22" t="n">
        <v>54741</v>
      </c>
      <c r="H193" s="10" t="s">
        <v>223</v>
      </c>
      <c r="I193" s="10" t="str">
        <f aca="false">IFERROR(VLOOKUP(E193,Parameters!$G$6:$H$15,2,FALSE()),"")</f>
        <v>Tractors</v>
      </c>
      <c r="J193" s="10" t="str">
        <f aca="false">IFERROR(INDEX(Name_Map!$B$2:$B$102,MATCH(D193,Name_Map!$A$2:$A$102,0)),D193)</f>
        <v>Antillas Cargo Logistics S.R.L.</v>
      </c>
      <c r="K193" s="22" t="n">
        <f aca="false">IF(F193&gt;0,G193/F193,0)</f>
        <v>54741</v>
      </c>
      <c r="L193" s="10" t="str">
        <f aca="false">IF(AND(COUNTIFS($A$2:$A$307,A193,$E$2:$E$307,E193)&gt;1,COUNTIFS($A$2:$A$307,A193,$E$2:$E$307,E193,$G$2:$G$307,G193)=COUNTIFS($A$2:$A$307,A193,$E$2:$E$307,E193)),"CHECK","OK")</f>
        <v>OK</v>
      </c>
      <c r="M193" s="22" t="n">
        <f aca="false">IF(L193="CHECK",G193/SUMIFS($F$2:$F$307,$A$2:$A$307,A193,$E$2:$E$307,E193),K193)</f>
        <v>54741</v>
      </c>
      <c r="N193" s="10" t="str">
        <f aca="false">IF(COUNTIF(Parameters!$E$6:$E$13,H193)&gt;0,"Yes","No")</f>
        <v>No</v>
      </c>
      <c r="O193" s="10" t="str">
        <f aca="false">IF(M193&lt;=Parameters!$B$3,IF(COUNTIF(Parameters!$A$6:$A$7,E193)&gt;0,"Vehicles","Out of scope"),IF(COUNTIF(Parameters!$C$6:$C$14,E193)&gt;0,"H&amp;H","Out of scope"))</f>
        <v>H&amp;H</v>
      </c>
      <c r="P193" s="22" t="n">
        <f aca="false">M193*F193</f>
        <v>54741</v>
      </c>
    </row>
    <row r="194" customFormat="false" ht="15" hidden="false" customHeight="false" outlineLevel="0" collapsed="false">
      <c r="A194" s="10" t="s">
        <v>320</v>
      </c>
      <c r="B194" s="21" t="n">
        <v>45895</v>
      </c>
      <c r="C194" s="10" t="s">
        <v>160</v>
      </c>
      <c r="D194" s="10" t="s">
        <v>142</v>
      </c>
      <c r="E194" s="10" t="n">
        <v>8703</v>
      </c>
      <c r="F194" s="22" t="n">
        <v>24</v>
      </c>
      <c r="G194" s="22" t="n">
        <v>47231</v>
      </c>
      <c r="H194" s="10" t="s">
        <v>31</v>
      </c>
      <c r="I194" s="10" t="str">
        <f aca="false">IFERROR(VLOOKUP(E194,Parameters!$G$6:$H$15,2,FALSE()),"")</f>
        <v>Passenger cars</v>
      </c>
      <c r="J194" s="10" t="str">
        <f aca="false">IFERROR(INDEX(Name_Map!$B$2:$B$102,MATCH(D194,Name_Map!$A$2:$A$102,0)),D194)</f>
        <v>Santo Domingo Autos S.R.L.</v>
      </c>
      <c r="K194" s="22" t="n">
        <f aca="false">IF(F194&gt;0,G194/F194,0)</f>
        <v>1967.95833333333</v>
      </c>
      <c r="L194" s="10" t="str">
        <f aca="false">IF(AND(COUNTIFS($A$2:$A$307,A194,$E$2:$E$307,E194)&gt;1,COUNTIFS($A$2:$A$307,A194,$E$2:$E$307,E194,$G$2:$G$307,G194)=COUNTIFS($A$2:$A$307,A194,$E$2:$E$307,E194)),"CHECK","OK")</f>
        <v>OK</v>
      </c>
      <c r="M194" s="22" t="n">
        <f aca="false">IF(L194="CHECK",G194/SUMIFS($F$2:$F$307,$A$2:$A$307,A194,$E$2:$E$307,E194),K194)</f>
        <v>1967.95833333333</v>
      </c>
      <c r="N194" s="10" t="str">
        <f aca="false">IF(COUNTIF(Parameters!$E$6:$E$13,H194)&gt;0,"Yes","No")</f>
        <v>Yes</v>
      </c>
      <c r="O194" s="10" t="str">
        <f aca="false">IF(M194&lt;=Parameters!$B$3,IF(COUNTIF(Parameters!$A$6:$A$7,E194)&gt;0,"Vehicles","Out of scope"),IF(COUNTIF(Parameters!$C$6:$C$14,E194)&gt;0,"H&amp;H","Out of scope"))</f>
        <v>Vehicles</v>
      </c>
      <c r="P194" s="22" t="n">
        <f aca="false">M194*F194</f>
        <v>47231</v>
      </c>
    </row>
    <row r="195" customFormat="false" ht="15" hidden="false" customHeight="false" outlineLevel="0" collapsed="false">
      <c r="A195" s="10" t="s">
        <v>320</v>
      </c>
      <c r="B195" s="21" t="n">
        <v>45895</v>
      </c>
      <c r="C195" s="10" t="s">
        <v>160</v>
      </c>
      <c r="D195" s="10" t="s">
        <v>142</v>
      </c>
      <c r="E195" s="10" t="n">
        <v>8704</v>
      </c>
      <c r="F195" s="22" t="n">
        <v>37</v>
      </c>
      <c r="G195" s="22" t="n">
        <v>113612</v>
      </c>
      <c r="H195" s="10" t="s">
        <v>31</v>
      </c>
      <c r="I195" s="10" t="str">
        <f aca="false">IFERROR(VLOOKUP(E195,Parameters!$G$6:$H$15,2,FALSE()),"")</f>
        <v>Goods vehicles (trucks)</v>
      </c>
      <c r="J195" s="10" t="str">
        <f aca="false">IFERROR(INDEX(Name_Map!$B$2:$B$102,MATCH(D195,Name_Map!$A$2:$A$102,0)),D195)</f>
        <v>Santo Domingo Autos S.R.L.</v>
      </c>
      <c r="K195" s="22" t="n">
        <f aca="false">IF(F195&gt;0,G195/F195,0)</f>
        <v>3070.59459459459</v>
      </c>
      <c r="L195" s="10" t="str">
        <f aca="false">IF(AND(COUNTIFS($A$2:$A$307,A195,$E$2:$E$307,E195)&gt;1,COUNTIFS($A$2:$A$307,A195,$E$2:$E$307,E195,$G$2:$G$307,G195)=COUNTIFS($A$2:$A$307,A195,$E$2:$E$307,E195)),"CHECK","OK")</f>
        <v>OK</v>
      </c>
      <c r="M195" s="22" t="n">
        <f aca="false">IF(L195="CHECK",G195/SUMIFS($F$2:$F$307,$A$2:$A$307,A195,$E$2:$E$307,E195),K195)</f>
        <v>3070.59459459459</v>
      </c>
      <c r="N195" s="10" t="str">
        <f aca="false">IF(COUNTIF(Parameters!$E$6:$E$13,H195)&gt;0,"Yes","No")</f>
        <v>Yes</v>
      </c>
      <c r="O195" s="10" t="str">
        <f aca="false">IF(M195&lt;=Parameters!$B$3,IF(COUNTIF(Parameters!$A$6:$A$7,E195)&gt;0,"Vehicles","Out of scope"),IF(COUNTIF(Parameters!$C$6:$C$14,E195)&gt;0,"H&amp;H","Out of scope"))</f>
        <v>Vehicles</v>
      </c>
      <c r="P195" s="22" t="n">
        <f aca="false">M195*F195</f>
        <v>113612</v>
      </c>
    </row>
    <row r="196" customFormat="false" ht="15" hidden="false" customHeight="false" outlineLevel="0" collapsed="false">
      <c r="A196" s="10" t="s">
        <v>321</v>
      </c>
      <c r="B196" s="21" t="n">
        <v>45896</v>
      </c>
      <c r="C196" s="10" t="s">
        <v>158</v>
      </c>
      <c r="D196" s="10" t="s">
        <v>60</v>
      </c>
      <c r="E196" s="10" t="n">
        <v>8703</v>
      </c>
      <c r="F196" s="22" t="n">
        <v>30</v>
      </c>
      <c r="G196" s="22" t="n">
        <v>55748</v>
      </c>
      <c r="H196" s="10" t="s">
        <v>242</v>
      </c>
      <c r="I196" s="10" t="str">
        <f aca="false">IFERROR(VLOOKUP(E196,Parameters!$G$6:$H$15,2,FALSE()),"")</f>
        <v>Passenger cars</v>
      </c>
      <c r="J196" s="10" t="str">
        <f aca="false">IFERROR(INDEX(Name_Map!$B$2:$B$102,MATCH(D196,Name_Map!$A$2:$A$102,0)),D196)</f>
        <v>Altiplano Trucks S.A.C.</v>
      </c>
      <c r="K196" s="22" t="n">
        <f aca="false">IF(F196&gt;0,G196/F196,0)</f>
        <v>1858.26666666667</v>
      </c>
      <c r="L196" s="10" t="str">
        <f aca="false">IF(AND(COUNTIFS($A$2:$A$307,A196,$E$2:$E$307,E196)&gt;1,COUNTIFS($A$2:$A$307,A196,$E$2:$E$307,E196,$G$2:$G$307,G196)=COUNTIFS($A$2:$A$307,A196,$E$2:$E$307,E196)),"CHECK","OK")</f>
        <v>OK</v>
      </c>
      <c r="M196" s="22" t="n">
        <f aca="false">IF(L196="CHECK",G196/SUMIFS($F$2:$F$307,$A$2:$A$307,A196,$E$2:$E$307,E196),K196)</f>
        <v>1858.26666666667</v>
      </c>
      <c r="N196" s="10" t="str">
        <f aca="false">IF(COUNTIF(Parameters!$E$6:$E$13,H196)&gt;0,"Yes","No")</f>
        <v>No</v>
      </c>
      <c r="O196" s="10" t="str">
        <f aca="false">IF(M196&lt;=Parameters!$B$3,IF(COUNTIF(Parameters!$A$6:$A$7,E196)&gt;0,"Vehicles","Out of scope"),IF(COUNTIF(Parameters!$C$6:$C$14,E196)&gt;0,"H&amp;H","Out of scope"))</f>
        <v>Vehicles</v>
      </c>
      <c r="P196" s="22" t="n">
        <f aca="false">M196*F196</f>
        <v>55748</v>
      </c>
    </row>
    <row r="197" customFormat="false" ht="15" hidden="false" customHeight="false" outlineLevel="0" collapsed="false">
      <c r="A197" s="10" t="s">
        <v>322</v>
      </c>
      <c r="B197" s="21" t="n">
        <v>45899</v>
      </c>
      <c r="C197" s="10" t="s">
        <v>161</v>
      </c>
      <c r="D197" s="10" t="s">
        <v>117</v>
      </c>
      <c r="E197" s="10" t="n">
        <v>8703</v>
      </c>
      <c r="F197" s="22" t="n">
        <v>28</v>
      </c>
      <c r="G197" s="22" t="n">
        <v>69696</v>
      </c>
      <c r="H197" s="10" t="s">
        <v>31</v>
      </c>
      <c r="I197" s="10" t="str">
        <f aca="false">IFERROR(VLOOKUP(E197,Parameters!$G$6:$H$15,2,FALSE()),"")</f>
        <v>Passenger cars</v>
      </c>
      <c r="J197" s="10" t="str">
        <f aca="false">IFERROR(INDEX(Name_Map!$B$2:$B$102,MATCH(D197,Name_Map!$A$2:$A$102,0)),D197)</f>
        <v>Istmo Motors S.A.</v>
      </c>
      <c r="K197" s="22" t="n">
        <f aca="false">IF(F197&gt;0,G197/F197,0)</f>
        <v>2489.14285714286</v>
      </c>
      <c r="L197" s="10" t="str">
        <f aca="false">IF(AND(COUNTIFS($A$2:$A$307,A197,$E$2:$E$307,E197)&gt;1,COUNTIFS($A$2:$A$307,A197,$E$2:$E$307,E197,$G$2:$G$307,G197)=COUNTIFS($A$2:$A$307,A197,$E$2:$E$307,E197)),"CHECK","OK")</f>
        <v>OK</v>
      </c>
      <c r="M197" s="22" t="n">
        <f aca="false">IF(L197="CHECK",G197/SUMIFS($F$2:$F$307,$A$2:$A$307,A197,$E$2:$E$307,E197),K197)</f>
        <v>2489.14285714286</v>
      </c>
      <c r="N197" s="10" t="str">
        <f aca="false">IF(COUNTIF(Parameters!$E$6:$E$13,H197)&gt;0,"Yes","No")</f>
        <v>Yes</v>
      </c>
      <c r="O197" s="10" t="str">
        <f aca="false">IF(M197&lt;=Parameters!$B$3,IF(COUNTIF(Parameters!$A$6:$A$7,E197)&gt;0,"Vehicles","Out of scope"),IF(COUNTIF(Parameters!$C$6:$C$14,E197)&gt;0,"H&amp;H","Out of scope"))</f>
        <v>Vehicles</v>
      </c>
      <c r="P197" s="22" t="n">
        <f aca="false">M197*F197</f>
        <v>69696</v>
      </c>
    </row>
    <row r="198" customFormat="false" ht="15" hidden="false" customHeight="false" outlineLevel="0" collapsed="false">
      <c r="A198" s="10" t="s">
        <v>322</v>
      </c>
      <c r="B198" s="21" t="n">
        <v>45899</v>
      </c>
      <c r="C198" s="10" t="s">
        <v>161</v>
      </c>
      <c r="D198" s="10" t="s">
        <v>113</v>
      </c>
      <c r="E198" s="10" t="n">
        <v>8703</v>
      </c>
      <c r="F198" s="22" t="n">
        <v>14</v>
      </c>
      <c r="G198" s="22" t="n">
        <v>24414</v>
      </c>
      <c r="H198" s="10" t="s">
        <v>31</v>
      </c>
      <c r="I198" s="10" t="str">
        <f aca="false">IFERROR(VLOOKUP(E198,Parameters!$G$6:$H$15,2,FALSE()),"")</f>
        <v>Passenger cars</v>
      </c>
      <c r="J198" s="10" t="str">
        <f aca="false">IFERROR(INDEX(Name_Map!$B$2:$B$102,MATCH(D198,Name_Map!$A$2:$A$102,0)),D198)</f>
        <v>Istmo Motors S.A.</v>
      </c>
      <c r="K198" s="22" t="n">
        <f aca="false">IF(F198&gt;0,G198/F198,0)</f>
        <v>1743.85714285714</v>
      </c>
      <c r="L198" s="10" t="str">
        <f aca="false">IF(AND(COUNTIFS($A$2:$A$307,A198,$E$2:$E$307,E198)&gt;1,COUNTIFS($A$2:$A$307,A198,$E$2:$E$307,E198,$G$2:$G$307,G198)=COUNTIFS($A$2:$A$307,A198,$E$2:$E$307,E198)),"CHECK","OK")</f>
        <v>OK</v>
      </c>
      <c r="M198" s="22" t="n">
        <f aca="false">IF(L198="CHECK",G198/SUMIFS($F$2:$F$307,$A$2:$A$307,A198,$E$2:$E$307,E198),K198)</f>
        <v>1743.85714285714</v>
      </c>
      <c r="N198" s="10" t="str">
        <f aca="false">IF(COUNTIF(Parameters!$E$6:$E$13,H198)&gt;0,"Yes","No")</f>
        <v>Yes</v>
      </c>
      <c r="O198" s="10" t="str">
        <f aca="false">IF(M198&lt;=Parameters!$B$3,IF(COUNTIF(Parameters!$A$6:$A$7,E198)&gt;0,"Vehicles","Out of scope"),IF(COUNTIF(Parameters!$C$6:$C$14,E198)&gt;0,"H&amp;H","Out of scope"))</f>
        <v>Vehicles</v>
      </c>
      <c r="P198" s="22" t="n">
        <f aca="false">M198*F198</f>
        <v>24414</v>
      </c>
    </row>
    <row r="199" customFormat="false" ht="15" hidden="false" customHeight="false" outlineLevel="0" collapsed="false">
      <c r="A199" s="10" t="s">
        <v>323</v>
      </c>
      <c r="B199" s="21" t="n">
        <v>45900</v>
      </c>
      <c r="C199" s="10" t="s">
        <v>160</v>
      </c>
      <c r="D199" s="10" t="s">
        <v>52</v>
      </c>
      <c r="E199" s="10" t="n">
        <v>8704</v>
      </c>
      <c r="F199" s="22" t="n">
        <v>3</v>
      </c>
      <c r="G199" s="22" t="n">
        <v>109203</v>
      </c>
      <c r="H199" s="10" t="s">
        <v>31</v>
      </c>
      <c r="I199" s="10" t="str">
        <f aca="false">IFERROR(VLOOKUP(E199,Parameters!$G$6:$H$15,2,FALSE()),"")</f>
        <v>Goods vehicles (trucks)</v>
      </c>
      <c r="J199" s="10" t="str">
        <f aca="false">IFERROR(INDEX(Name_Map!$B$2:$B$102,MATCH(D199,Name_Map!$A$2:$A$102,0)),D199)</f>
        <v>Antillas Cargo Logistics S.R.L.</v>
      </c>
      <c r="K199" s="22" t="n">
        <f aca="false">IF(F199&gt;0,G199/F199,0)</f>
        <v>36401</v>
      </c>
      <c r="L199" s="10" t="str">
        <f aca="false">IF(AND(COUNTIFS($A$2:$A$307,A199,$E$2:$E$307,E199)&gt;1,COUNTIFS($A$2:$A$307,A199,$E$2:$E$307,E199,$G$2:$G$307,G199)=COUNTIFS($A$2:$A$307,A199,$E$2:$E$307,E199)),"CHECK","OK")</f>
        <v>OK</v>
      </c>
      <c r="M199" s="22" t="n">
        <f aca="false">IF(L199="CHECK",G199/SUMIFS($F$2:$F$307,$A$2:$A$307,A199,$E$2:$E$307,E199),K199)</f>
        <v>36401</v>
      </c>
      <c r="N199" s="10" t="str">
        <f aca="false">IF(COUNTIF(Parameters!$E$6:$E$13,H199)&gt;0,"Yes","No")</f>
        <v>Yes</v>
      </c>
      <c r="O199" s="10" t="str">
        <f aca="false">IF(M199&lt;=Parameters!$B$3,IF(COUNTIF(Parameters!$A$6:$A$7,E199)&gt;0,"Vehicles","Out of scope"),IF(COUNTIF(Parameters!$C$6:$C$14,E199)&gt;0,"H&amp;H","Out of scope"))</f>
        <v>H&amp;H</v>
      </c>
      <c r="P199" s="22" t="n">
        <f aca="false">M199*F199</f>
        <v>109203</v>
      </c>
    </row>
    <row r="200" customFormat="false" ht="15" hidden="false" customHeight="false" outlineLevel="0" collapsed="false">
      <c r="A200" s="10" t="s">
        <v>323</v>
      </c>
      <c r="B200" s="21" t="n">
        <v>45900</v>
      </c>
      <c r="C200" s="10" t="s">
        <v>160</v>
      </c>
      <c r="D200" s="10" t="s">
        <v>51</v>
      </c>
      <c r="E200" s="10" t="n">
        <v>8426</v>
      </c>
      <c r="F200" s="22" t="n">
        <v>3</v>
      </c>
      <c r="G200" s="22" t="n">
        <v>146802</v>
      </c>
      <c r="H200" s="10" t="s">
        <v>31</v>
      </c>
      <c r="I200" s="10" t="str">
        <f aca="false">IFERROR(VLOOKUP(E200,Parameters!$G$6:$H$15,2,FALSE()),"")</f>
        <v>Cranes</v>
      </c>
      <c r="J200" s="10" t="str">
        <f aca="false">IFERROR(INDEX(Name_Map!$B$2:$B$102,MATCH(D200,Name_Map!$A$2:$A$102,0)),D200)</f>
        <v>Antillas Cargo Logistics S.R.L.</v>
      </c>
      <c r="K200" s="22" t="n">
        <f aca="false">IF(F200&gt;0,G200/F200,0)</f>
        <v>48934</v>
      </c>
      <c r="L200" s="10" t="str">
        <f aca="false">IF(AND(COUNTIFS($A$2:$A$307,A200,$E$2:$E$307,E200)&gt;1,COUNTIFS($A$2:$A$307,A200,$E$2:$E$307,E200,$G$2:$G$307,G200)=COUNTIFS($A$2:$A$307,A200,$E$2:$E$307,E200)),"CHECK","OK")</f>
        <v>OK</v>
      </c>
      <c r="M200" s="22" t="n">
        <f aca="false">IF(L200="CHECK",G200/SUMIFS($F$2:$F$307,$A$2:$A$307,A200,$E$2:$E$307,E200),K200)</f>
        <v>48934</v>
      </c>
      <c r="N200" s="10" t="str">
        <f aca="false">IF(COUNTIF(Parameters!$E$6:$E$13,H200)&gt;0,"Yes","No")</f>
        <v>Yes</v>
      </c>
      <c r="O200" s="10" t="str">
        <f aca="false">IF(M200&lt;=Parameters!$B$3,IF(COUNTIF(Parameters!$A$6:$A$7,E200)&gt;0,"Vehicles","Out of scope"),IF(COUNTIF(Parameters!$C$6:$C$14,E200)&gt;0,"H&amp;H","Out of scope"))</f>
        <v>H&amp;H</v>
      </c>
      <c r="P200" s="22" t="n">
        <f aca="false">M200*F200</f>
        <v>146802</v>
      </c>
    </row>
    <row r="201" customFormat="false" ht="15" hidden="false" customHeight="false" outlineLevel="0" collapsed="false">
      <c r="A201" s="10" t="s">
        <v>324</v>
      </c>
      <c r="B201" s="21" t="n">
        <v>45900</v>
      </c>
      <c r="C201" s="10" t="s">
        <v>160</v>
      </c>
      <c r="D201" s="10" t="s">
        <v>63</v>
      </c>
      <c r="E201" s="10" t="n">
        <v>8433</v>
      </c>
      <c r="F201" s="22" t="n">
        <v>4</v>
      </c>
      <c r="G201" s="22" t="n">
        <v>226940</v>
      </c>
      <c r="H201" s="10" t="s">
        <v>33</v>
      </c>
      <c r="I201" s="10" t="str">
        <f aca="false">IFERROR(VLOOKUP(E201,Parameters!$G$6:$H$15,2,FALSE()),"")</f>
        <v>Harvesting machinery</v>
      </c>
      <c r="J201" s="10" t="str">
        <f aca="false">IFERROR(INDEX(Name_Map!$B$2:$B$102,MATCH(D201,Name_Map!$A$2:$A$102,0)),D201)</f>
        <v>Antillas Cargo Logistics S.R.L.</v>
      </c>
      <c r="K201" s="22" t="n">
        <f aca="false">IF(F201&gt;0,G201/F201,0)</f>
        <v>56735</v>
      </c>
      <c r="L201" s="10" t="str">
        <f aca="false">IF(AND(COUNTIFS($A$2:$A$307,A201,$E$2:$E$307,E201)&gt;1,COUNTIFS($A$2:$A$307,A201,$E$2:$E$307,E201,$G$2:$G$307,G201)=COUNTIFS($A$2:$A$307,A201,$E$2:$E$307,E201)),"CHECK","OK")</f>
        <v>OK</v>
      </c>
      <c r="M201" s="22" t="n">
        <f aca="false">IF(L201="CHECK",G201/SUMIFS($F$2:$F$307,$A$2:$A$307,A201,$E$2:$E$307,E201),K201)</f>
        <v>56735</v>
      </c>
      <c r="N201" s="10" t="str">
        <f aca="false">IF(COUNTIF(Parameters!$E$6:$E$13,H201)&gt;0,"Yes","No")</f>
        <v>Yes</v>
      </c>
      <c r="O201" s="10" t="str">
        <f aca="false">IF(M201&lt;=Parameters!$B$3,IF(COUNTIF(Parameters!$A$6:$A$7,E201)&gt;0,"Vehicles","Out of scope"),IF(COUNTIF(Parameters!$C$6:$C$14,E201)&gt;0,"H&amp;H","Out of scope"))</f>
        <v>H&amp;H</v>
      </c>
      <c r="P201" s="22" t="n">
        <f aca="false">M201*F201</f>
        <v>226940</v>
      </c>
    </row>
    <row r="202" customFormat="false" ht="15" hidden="false" customHeight="false" outlineLevel="0" collapsed="false">
      <c r="A202" s="10" t="s">
        <v>325</v>
      </c>
      <c r="B202" s="21" t="n">
        <v>45900</v>
      </c>
      <c r="C202" s="10" t="s">
        <v>159</v>
      </c>
      <c r="D202" s="10" t="s">
        <v>98</v>
      </c>
      <c r="E202" s="10" t="n">
        <v>8703</v>
      </c>
      <c r="F202" s="22" t="n">
        <v>25</v>
      </c>
      <c r="G202" s="22" t="n">
        <v>35475</v>
      </c>
      <c r="H202" s="10" t="s">
        <v>29</v>
      </c>
      <c r="I202" s="10" t="str">
        <f aca="false">IFERROR(VLOOKUP(E202,Parameters!$G$6:$H$15,2,FALSE()),"")</f>
        <v>Passenger cars</v>
      </c>
      <c r="J202" s="10" t="str">
        <f aca="false">IFERROR(INDEX(Name_Map!$B$2:$B$102,MATCH(D202,Name_Map!$A$2:$A$102,0)),D202)</f>
        <v>Ecuamotors Cia. Ltda.</v>
      </c>
      <c r="K202" s="22" t="n">
        <f aca="false">IF(F202&gt;0,G202/F202,0)</f>
        <v>1419</v>
      </c>
      <c r="L202" s="10" t="str">
        <f aca="false">IF(AND(COUNTIFS($A$2:$A$307,A202,$E$2:$E$307,E202)&gt;1,COUNTIFS($A$2:$A$307,A202,$E$2:$E$307,E202,$G$2:$G$307,G202)=COUNTIFS($A$2:$A$307,A202,$E$2:$E$307,E202)),"CHECK","OK")</f>
        <v>OK</v>
      </c>
      <c r="M202" s="22" t="n">
        <f aca="false">IF(L202="CHECK",G202/SUMIFS($F$2:$F$307,$A$2:$A$307,A202,$E$2:$E$307,E202),K202)</f>
        <v>1419</v>
      </c>
      <c r="N202" s="10" t="str">
        <f aca="false">IF(COUNTIF(Parameters!$E$6:$E$13,H202)&gt;0,"Yes","No")</f>
        <v>Yes</v>
      </c>
      <c r="O202" s="10" t="str">
        <f aca="false">IF(M202&lt;=Parameters!$B$3,IF(COUNTIF(Parameters!$A$6:$A$7,E202)&gt;0,"Vehicles","Out of scope"),IF(COUNTIF(Parameters!$C$6:$C$14,E202)&gt;0,"H&amp;H","Out of scope"))</f>
        <v>Vehicles</v>
      </c>
      <c r="P202" s="22" t="n">
        <f aca="false">M202*F202</f>
        <v>35475</v>
      </c>
    </row>
    <row r="203" customFormat="false" ht="15" hidden="false" customHeight="false" outlineLevel="0" collapsed="false">
      <c r="A203" s="10" t="s">
        <v>326</v>
      </c>
      <c r="B203" s="21" t="n">
        <v>45903</v>
      </c>
      <c r="C203" s="10" t="s">
        <v>161</v>
      </c>
      <c r="D203" s="10" t="s">
        <v>90</v>
      </c>
      <c r="E203" s="10" t="n">
        <v>8705</v>
      </c>
      <c r="F203" s="22" t="n">
        <v>3</v>
      </c>
      <c r="G203" s="22" t="n">
        <v>121424</v>
      </c>
      <c r="H203" s="10" t="s">
        <v>242</v>
      </c>
      <c r="I203" s="10" t="str">
        <f aca="false">IFERROR(VLOOKUP(E203,Parameters!$G$6:$H$15,2,FALSE()),"")</f>
        <v>Special-purpose vehicles</v>
      </c>
      <c r="J203" s="10" t="str">
        <f aca="false">IFERROR(INDEX(Name_Map!$B$2:$B$102,MATCH(D203,Name_Map!$A$2:$A$102,0)),D203)</f>
        <v>Chiriqui Agro Machinery S.A.</v>
      </c>
      <c r="K203" s="22" t="n">
        <f aca="false">IF(F203&gt;0,G203/F203,0)</f>
        <v>40474.6666666667</v>
      </c>
      <c r="L203" s="10" t="str">
        <f aca="false">IF(AND(COUNTIFS($A$2:$A$307,A203,$E$2:$E$307,E203)&gt;1,COUNTIFS($A$2:$A$307,A203,$E$2:$E$307,E203,$G$2:$G$307,G203)=COUNTIFS($A$2:$A$307,A203,$E$2:$E$307,E203)),"CHECK","OK")</f>
        <v>OK</v>
      </c>
      <c r="M203" s="22" t="n">
        <f aca="false">IF(L203="CHECK",G203/SUMIFS($F$2:$F$307,$A$2:$A$307,A203,$E$2:$E$307,E203),K203)</f>
        <v>40474.6666666667</v>
      </c>
      <c r="N203" s="10" t="str">
        <f aca="false">IF(COUNTIF(Parameters!$E$6:$E$13,H203)&gt;0,"Yes","No")</f>
        <v>No</v>
      </c>
      <c r="O203" s="10" t="str">
        <f aca="false">IF(M203&lt;=Parameters!$B$3,IF(COUNTIF(Parameters!$A$6:$A$7,E203)&gt;0,"Vehicles","Out of scope"),IF(COUNTIF(Parameters!$C$6:$C$14,E203)&gt;0,"H&amp;H","Out of scope"))</f>
        <v>H&amp;H</v>
      </c>
      <c r="P203" s="22" t="n">
        <f aca="false">M203*F203</f>
        <v>121424</v>
      </c>
    </row>
    <row r="204" customFormat="false" ht="15" hidden="false" customHeight="false" outlineLevel="0" collapsed="false">
      <c r="A204" s="10" t="s">
        <v>327</v>
      </c>
      <c r="B204" s="21" t="n">
        <v>45905</v>
      </c>
      <c r="C204" s="10" t="s">
        <v>160</v>
      </c>
      <c r="D204" s="10" t="s">
        <v>142</v>
      </c>
      <c r="E204" s="10" t="n">
        <v>8703</v>
      </c>
      <c r="F204" s="22" t="n">
        <v>5</v>
      </c>
      <c r="G204" s="22" t="n">
        <v>7426</v>
      </c>
      <c r="H204" s="10" t="s">
        <v>39</v>
      </c>
      <c r="I204" s="10" t="str">
        <f aca="false">IFERROR(VLOOKUP(E204,Parameters!$G$6:$H$15,2,FALSE()),"")</f>
        <v>Passenger cars</v>
      </c>
      <c r="J204" s="10" t="str">
        <f aca="false">IFERROR(INDEX(Name_Map!$B$2:$B$102,MATCH(D204,Name_Map!$A$2:$A$102,0)),D204)</f>
        <v>Santo Domingo Autos S.R.L.</v>
      </c>
      <c r="K204" s="22" t="n">
        <f aca="false">IF(F204&gt;0,G204/F204,0)</f>
        <v>1485.2</v>
      </c>
      <c r="L204" s="10" t="str">
        <f aca="false">IF(AND(COUNTIFS($A$2:$A$307,A204,$E$2:$E$307,E204)&gt;1,COUNTIFS($A$2:$A$307,A204,$E$2:$E$307,E204,$G$2:$G$307,G204)=COUNTIFS($A$2:$A$307,A204,$E$2:$E$307,E204)),"CHECK","OK")</f>
        <v>OK</v>
      </c>
      <c r="M204" s="22" t="n">
        <f aca="false">IF(L204="CHECK",G204/SUMIFS($F$2:$F$307,$A$2:$A$307,A204,$E$2:$E$307,E204),K204)</f>
        <v>1485.2</v>
      </c>
      <c r="N204" s="10" t="str">
        <f aca="false">IF(COUNTIF(Parameters!$E$6:$E$13,H204)&gt;0,"Yes","No")</f>
        <v>Yes</v>
      </c>
      <c r="O204" s="10" t="str">
        <f aca="false">IF(M204&lt;=Parameters!$B$3,IF(COUNTIF(Parameters!$A$6:$A$7,E204)&gt;0,"Vehicles","Out of scope"),IF(COUNTIF(Parameters!$C$6:$C$14,E204)&gt;0,"H&amp;H","Out of scope"))</f>
        <v>Vehicles</v>
      </c>
      <c r="P204" s="22" t="n">
        <f aca="false">M204*F204</f>
        <v>7426</v>
      </c>
    </row>
    <row r="205" customFormat="false" ht="15" hidden="false" customHeight="false" outlineLevel="0" collapsed="false">
      <c r="A205" s="10" t="s">
        <v>328</v>
      </c>
      <c r="B205" s="21" t="n">
        <v>45906</v>
      </c>
      <c r="C205" s="10" t="s">
        <v>158</v>
      </c>
      <c r="D205" s="10" t="s">
        <v>47</v>
      </c>
      <c r="E205" s="10" t="n">
        <v>8703</v>
      </c>
      <c r="F205" s="22" t="n">
        <v>37</v>
      </c>
      <c r="G205" s="22" t="n">
        <v>43597</v>
      </c>
      <c r="H205" s="10" t="s">
        <v>33</v>
      </c>
      <c r="I205" s="10" t="str">
        <f aca="false">IFERROR(VLOOKUP(E205,Parameters!$G$6:$H$15,2,FALSE()),"")</f>
        <v>Passenger cars</v>
      </c>
      <c r="J205" s="10" t="str">
        <f aca="false">IFERROR(INDEX(Name_Map!$B$2:$B$102,MATCH(D205,Name_Map!$A$2:$A$102,0)),D205)</f>
        <v>Altiplano Trucks S.A.C.</v>
      </c>
      <c r="K205" s="22" t="n">
        <f aca="false">IF(F205&gt;0,G205/F205,0)</f>
        <v>1178.2972972973</v>
      </c>
      <c r="L205" s="10" t="str">
        <f aca="false">IF(AND(COUNTIFS($A$2:$A$307,A205,$E$2:$E$307,E205)&gt;1,COUNTIFS($A$2:$A$307,A205,$E$2:$E$307,E205,$G$2:$G$307,G205)=COUNTIFS($A$2:$A$307,A205,$E$2:$E$307,E205)),"CHECK","OK")</f>
        <v>OK</v>
      </c>
      <c r="M205" s="22" t="n">
        <f aca="false">IF(L205="CHECK",G205/SUMIFS($F$2:$F$307,$A$2:$A$307,A205,$E$2:$E$307,E205),K205)</f>
        <v>1178.2972972973</v>
      </c>
      <c r="N205" s="10" t="str">
        <f aca="false">IF(COUNTIF(Parameters!$E$6:$E$13,H205)&gt;0,"Yes","No")</f>
        <v>Yes</v>
      </c>
      <c r="O205" s="10" t="str">
        <f aca="false">IF(M205&lt;=Parameters!$B$3,IF(COUNTIF(Parameters!$A$6:$A$7,E205)&gt;0,"Vehicles","Out of scope"),IF(COUNTIF(Parameters!$C$6:$C$14,E205)&gt;0,"H&amp;H","Out of scope"))</f>
        <v>Vehicles</v>
      </c>
      <c r="P205" s="22" t="n">
        <f aca="false">M205*F205</f>
        <v>43597</v>
      </c>
    </row>
    <row r="206" customFormat="false" ht="15" hidden="false" customHeight="false" outlineLevel="0" collapsed="false">
      <c r="A206" s="10" t="s">
        <v>329</v>
      </c>
      <c r="B206" s="21" t="n">
        <v>45908</v>
      </c>
      <c r="C206" s="10" t="s">
        <v>161</v>
      </c>
      <c r="D206" s="10" t="s">
        <v>133</v>
      </c>
      <c r="E206" s="10" t="n">
        <v>8701</v>
      </c>
      <c r="F206" s="22" t="n">
        <v>1</v>
      </c>
      <c r="G206" s="22" t="n">
        <v>56923</v>
      </c>
      <c r="H206" s="10" t="s">
        <v>27</v>
      </c>
      <c r="I206" s="10" t="str">
        <f aca="false">IFERROR(VLOOKUP(E206,Parameters!$G$6:$H$15,2,FALSE()),"")</f>
        <v>Tractors</v>
      </c>
      <c r="J206" s="10" t="str">
        <f aca="false">IFERROR(INDEX(Name_Map!$B$2:$B$102,MATCH(D206,Name_Map!$A$2:$A$102,0)),D206)</f>
        <v>Pacific Bridge Equipment Inc.</v>
      </c>
      <c r="K206" s="22" t="n">
        <f aca="false">IF(F206&gt;0,G206/F206,0)</f>
        <v>56923</v>
      </c>
      <c r="L206" s="10" t="str">
        <f aca="false">IF(AND(COUNTIFS($A$2:$A$307,A206,$E$2:$E$307,E206)&gt;1,COUNTIFS($A$2:$A$307,A206,$E$2:$E$307,E206,$G$2:$G$307,G206)=COUNTIFS($A$2:$A$307,A206,$E$2:$E$307,E206)),"CHECK","OK")</f>
        <v>OK</v>
      </c>
      <c r="M206" s="22" t="n">
        <f aca="false">IF(L206="CHECK",G206/SUMIFS($F$2:$F$307,$A$2:$A$307,A206,$E$2:$E$307,E206),K206)</f>
        <v>56923</v>
      </c>
      <c r="N206" s="10" t="str">
        <f aca="false">IF(COUNTIF(Parameters!$E$6:$E$13,H206)&gt;0,"Yes","No")</f>
        <v>Yes</v>
      </c>
      <c r="O206" s="10" t="str">
        <f aca="false">IF(M206&lt;=Parameters!$B$3,IF(COUNTIF(Parameters!$A$6:$A$7,E206)&gt;0,"Vehicles","Out of scope"),IF(COUNTIF(Parameters!$C$6:$C$14,E206)&gt;0,"H&amp;H","Out of scope"))</f>
        <v>H&amp;H</v>
      </c>
      <c r="P206" s="22" t="n">
        <f aca="false">M206*F206</f>
        <v>56923</v>
      </c>
    </row>
    <row r="207" customFormat="false" ht="15" hidden="false" customHeight="false" outlineLevel="0" collapsed="false">
      <c r="A207" s="10" t="s">
        <v>330</v>
      </c>
      <c r="B207" s="21" t="n">
        <v>45912</v>
      </c>
      <c r="C207" s="10" t="s">
        <v>160</v>
      </c>
      <c r="D207" s="10" t="s">
        <v>142</v>
      </c>
      <c r="E207" s="10" t="n">
        <v>8704</v>
      </c>
      <c r="F207" s="22" t="n">
        <v>29</v>
      </c>
      <c r="G207" s="22" t="n">
        <v>82557</v>
      </c>
      <c r="H207" s="10" t="s">
        <v>180</v>
      </c>
      <c r="I207" s="10" t="str">
        <f aca="false">IFERROR(VLOOKUP(E207,Parameters!$G$6:$H$15,2,FALSE()),"")</f>
        <v>Goods vehicles (trucks)</v>
      </c>
      <c r="J207" s="10" t="str">
        <f aca="false">IFERROR(INDEX(Name_Map!$B$2:$B$102,MATCH(D207,Name_Map!$A$2:$A$102,0)),D207)</f>
        <v>Santo Domingo Autos S.R.L.</v>
      </c>
      <c r="K207" s="22" t="n">
        <f aca="false">IF(F207&gt;0,G207/F207,0)</f>
        <v>2846.79310344828</v>
      </c>
      <c r="L207" s="10" t="str">
        <f aca="false">IF(AND(COUNTIFS($A$2:$A$307,A207,$E$2:$E$307,E207)&gt;1,COUNTIFS($A$2:$A$307,A207,$E$2:$E$307,E207,$G$2:$G$307,G207)=COUNTIFS($A$2:$A$307,A207,$E$2:$E$307,E207)),"CHECK","OK")</f>
        <v>OK</v>
      </c>
      <c r="M207" s="22" t="n">
        <f aca="false">IF(L207="CHECK",G207/SUMIFS($F$2:$F$307,$A$2:$A$307,A207,$E$2:$E$307,E207),K207)</f>
        <v>2846.79310344828</v>
      </c>
      <c r="N207" s="10" t="str">
        <f aca="false">IF(COUNTIF(Parameters!$E$6:$E$13,H207)&gt;0,"Yes","No")</f>
        <v>No</v>
      </c>
      <c r="O207" s="10" t="str">
        <f aca="false">IF(M207&lt;=Parameters!$B$3,IF(COUNTIF(Parameters!$A$6:$A$7,E207)&gt;0,"Vehicles","Out of scope"),IF(COUNTIF(Parameters!$C$6:$C$14,E207)&gt;0,"H&amp;H","Out of scope"))</f>
        <v>Vehicles</v>
      </c>
      <c r="P207" s="22" t="n">
        <f aca="false">M207*F207</f>
        <v>82557</v>
      </c>
    </row>
    <row r="208" customFormat="false" ht="15" hidden="false" customHeight="false" outlineLevel="0" collapsed="false">
      <c r="A208" s="10" t="s">
        <v>331</v>
      </c>
      <c r="B208" s="21" t="n">
        <v>45916</v>
      </c>
      <c r="C208" s="10" t="s">
        <v>159</v>
      </c>
      <c r="D208" s="10" t="s">
        <v>101</v>
      </c>
      <c r="E208" s="10" t="n">
        <v>8429</v>
      </c>
      <c r="F208" s="22" t="n">
        <v>4</v>
      </c>
      <c r="G208" s="22" t="n">
        <v>221903</v>
      </c>
      <c r="H208" s="10" t="s">
        <v>193</v>
      </c>
      <c r="I208" s="10" t="str">
        <f aca="false">IFERROR(VLOOKUP(E208,Parameters!$G$6:$H$15,2,FALSE()),"")</f>
        <v>Bulldozers / excavators / loaders</v>
      </c>
      <c r="J208" s="10" t="str">
        <f aca="false">IFERROR(INDEX(Name_Map!$B$2:$B$102,MATCH(D208,Name_Map!$A$2:$A$102,0)),D208)</f>
        <v>Equinoccio Maquinaria S.A.</v>
      </c>
      <c r="K208" s="22" t="n">
        <f aca="false">IF(F208&gt;0,G208/F208,0)</f>
        <v>55475.75</v>
      </c>
      <c r="L208" s="10" t="str">
        <f aca="false">IF(AND(COUNTIFS($A$2:$A$307,A208,$E$2:$E$307,E208)&gt;1,COUNTIFS($A$2:$A$307,A208,$E$2:$E$307,E208,$G$2:$G$307,G208)=COUNTIFS($A$2:$A$307,A208,$E$2:$E$307,E208)),"CHECK","OK")</f>
        <v>OK</v>
      </c>
      <c r="M208" s="22" t="n">
        <f aca="false">IF(L208="CHECK",G208/SUMIFS($F$2:$F$307,$A$2:$A$307,A208,$E$2:$E$307,E208),K208)</f>
        <v>55475.75</v>
      </c>
      <c r="N208" s="10" t="str">
        <f aca="false">IF(COUNTIF(Parameters!$E$6:$E$13,H208)&gt;0,"Yes","No")</f>
        <v>No</v>
      </c>
      <c r="O208" s="10" t="str">
        <f aca="false">IF(M208&lt;=Parameters!$B$3,IF(COUNTIF(Parameters!$A$6:$A$7,E208)&gt;0,"Vehicles","Out of scope"),IF(COUNTIF(Parameters!$C$6:$C$14,E208)&gt;0,"H&amp;H","Out of scope"))</f>
        <v>H&amp;H</v>
      </c>
      <c r="P208" s="22" t="n">
        <f aca="false">M208*F208</f>
        <v>221903</v>
      </c>
    </row>
    <row r="209" customFormat="false" ht="15" hidden="false" customHeight="false" outlineLevel="0" collapsed="false">
      <c r="A209" s="10" t="s">
        <v>331</v>
      </c>
      <c r="B209" s="21" t="n">
        <v>45916</v>
      </c>
      <c r="C209" s="10" t="s">
        <v>159</v>
      </c>
      <c r="D209" s="10" t="s">
        <v>100</v>
      </c>
      <c r="E209" s="10" t="n">
        <v>8426</v>
      </c>
      <c r="F209" s="22" t="n">
        <v>4</v>
      </c>
      <c r="G209" s="22" t="n">
        <v>150706</v>
      </c>
      <c r="H209" s="10" t="s">
        <v>193</v>
      </c>
      <c r="I209" s="10" t="str">
        <f aca="false">IFERROR(VLOOKUP(E209,Parameters!$G$6:$H$15,2,FALSE()),"")</f>
        <v>Cranes</v>
      </c>
      <c r="J209" s="10" t="str">
        <f aca="false">IFERROR(INDEX(Name_Map!$B$2:$B$102,MATCH(D209,Name_Map!$A$2:$A$102,0)),D209)</f>
        <v>Equinoccio Maquinaria S.A.</v>
      </c>
      <c r="K209" s="22" t="n">
        <f aca="false">IF(F209&gt;0,G209/F209,0)</f>
        <v>37676.5</v>
      </c>
      <c r="L209" s="10" t="str">
        <f aca="false">IF(AND(COUNTIFS($A$2:$A$307,A209,$E$2:$E$307,E209)&gt;1,COUNTIFS($A$2:$A$307,A209,$E$2:$E$307,E209,$G$2:$G$307,G209)=COUNTIFS($A$2:$A$307,A209,$E$2:$E$307,E209)),"CHECK","OK")</f>
        <v>OK</v>
      </c>
      <c r="M209" s="22" t="n">
        <f aca="false">IF(L209="CHECK",G209/SUMIFS($F$2:$F$307,$A$2:$A$307,A209,$E$2:$E$307,E209),K209)</f>
        <v>37676.5</v>
      </c>
      <c r="N209" s="10" t="str">
        <f aca="false">IF(COUNTIF(Parameters!$E$6:$E$13,H209)&gt;0,"Yes","No")</f>
        <v>No</v>
      </c>
      <c r="O209" s="10" t="str">
        <f aca="false">IF(M209&lt;=Parameters!$B$3,IF(COUNTIF(Parameters!$A$6:$A$7,E209)&gt;0,"Vehicles","Out of scope"),IF(COUNTIF(Parameters!$C$6:$C$14,E209)&gt;0,"H&amp;H","Out of scope"))</f>
        <v>H&amp;H</v>
      </c>
      <c r="P209" s="22" t="n">
        <f aca="false">M209*F209</f>
        <v>150706</v>
      </c>
    </row>
    <row r="210" customFormat="false" ht="15" hidden="false" customHeight="false" outlineLevel="0" collapsed="false">
      <c r="A210" s="10" t="s">
        <v>332</v>
      </c>
      <c r="B210" s="21" t="n">
        <v>45916</v>
      </c>
      <c r="C210" s="10" t="s">
        <v>161</v>
      </c>
      <c r="D210" s="10" t="s">
        <v>113</v>
      </c>
      <c r="E210" s="10" t="n">
        <v>8703</v>
      </c>
      <c r="F210" s="22" t="n">
        <v>31</v>
      </c>
      <c r="G210" s="22" t="n">
        <v>76810</v>
      </c>
      <c r="H210" s="10" t="s">
        <v>33</v>
      </c>
      <c r="I210" s="10" t="str">
        <f aca="false">IFERROR(VLOOKUP(E210,Parameters!$G$6:$H$15,2,FALSE()),"")</f>
        <v>Passenger cars</v>
      </c>
      <c r="J210" s="10" t="str">
        <f aca="false">IFERROR(INDEX(Name_Map!$B$2:$B$102,MATCH(D210,Name_Map!$A$2:$A$102,0)),D210)</f>
        <v>Istmo Motors S.A.</v>
      </c>
      <c r="K210" s="22" t="n">
        <f aca="false">IF(F210&gt;0,G210/F210,0)</f>
        <v>2477.74193548387</v>
      </c>
      <c r="L210" s="10" t="str">
        <f aca="false">IF(AND(COUNTIFS($A$2:$A$307,A210,$E$2:$E$307,E210)&gt;1,COUNTIFS($A$2:$A$307,A210,$E$2:$E$307,E210,$G$2:$G$307,G210)=COUNTIFS($A$2:$A$307,A210,$E$2:$E$307,E210)),"CHECK","OK")</f>
        <v>OK</v>
      </c>
      <c r="M210" s="22" t="n">
        <f aca="false">IF(L210="CHECK",G210/SUMIFS($F$2:$F$307,$A$2:$A$307,A210,$E$2:$E$307,E210),K210)</f>
        <v>2477.74193548387</v>
      </c>
      <c r="N210" s="10" t="str">
        <f aca="false">IF(COUNTIF(Parameters!$E$6:$E$13,H210)&gt;0,"Yes","No")</f>
        <v>Yes</v>
      </c>
      <c r="O210" s="10" t="str">
        <f aca="false">IF(M210&lt;=Parameters!$B$3,IF(COUNTIF(Parameters!$A$6:$A$7,E210)&gt;0,"Vehicles","Out of scope"),IF(COUNTIF(Parameters!$C$6:$C$14,E210)&gt;0,"H&amp;H","Out of scope"))</f>
        <v>Vehicles</v>
      </c>
      <c r="P210" s="22" t="n">
        <f aca="false">M210*F210</f>
        <v>76810</v>
      </c>
    </row>
    <row r="211" customFormat="false" ht="15" hidden="false" customHeight="false" outlineLevel="0" collapsed="false">
      <c r="A211" s="10" t="s">
        <v>333</v>
      </c>
      <c r="B211" s="21" t="n">
        <v>45917</v>
      </c>
      <c r="C211" s="10" t="s">
        <v>157</v>
      </c>
      <c r="D211" s="10" t="s">
        <v>76</v>
      </c>
      <c r="E211" s="10" t="n">
        <v>8704</v>
      </c>
      <c r="F211" s="22" t="n">
        <v>20</v>
      </c>
      <c r="G211" s="22" t="n">
        <v>134873</v>
      </c>
      <c r="H211" s="10" t="s">
        <v>39</v>
      </c>
      <c r="I211" s="10" t="str">
        <f aca="false">IFERROR(VLOOKUP(E211,Parameters!$G$6:$H$15,2,FALSE()),"")</f>
        <v>Goods vehicles (trucks)</v>
      </c>
      <c r="J211" s="10" t="str">
        <f aca="false">IFERROR(INDEX(Name_Map!$B$2:$B$102,MATCH(D211,Name_Map!$A$2:$A$102,0)),D211)</f>
        <v>Caribe Motores S.A.S.</v>
      </c>
      <c r="K211" s="22" t="n">
        <f aca="false">IF(F211&gt;0,G211/F211,0)</f>
        <v>6743.65</v>
      </c>
      <c r="L211" s="10" t="str">
        <f aca="false">IF(AND(COUNTIFS($A$2:$A$307,A211,$E$2:$E$307,E211)&gt;1,COUNTIFS($A$2:$A$307,A211,$E$2:$E$307,E211,$G$2:$G$307,G211)=COUNTIFS($A$2:$A$307,A211,$E$2:$E$307,E211)),"CHECK","OK")</f>
        <v>OK</v>
      </c>
      <c r="M211" s="22" t="n">
        <f aca="false">IF(L211="CHECK",G211/SUMIFS($F$2:$F$307,$A$2:$A$307,A211,$E$2:$E$307,E211),K211)</f>
        <v>6743.65</v>
      </c>
      <c r="N211" s="10" t="str">
        <f aca="false">IF(COUNTIF(Parameters!$E$6:$E$13,H211)&gt;0,"Yes","No")</f>
        <v>Yes</v>
      </c>
      <c r="O211" s="10" t="str">
        <f aca="false">IF(M211&lt;=Parameters!$B$3,IF(COUNTIF(Parameters!$A$6:$A$7,E211)&gt;0,"Vehicles","Out of scope"),IF(COUNTIF(Parameters!$C$6:$C$14,E211)&gt;0,"H&amp;H","Out of scope"))</f>
        <v>Vehicles</v>
      </c>
      <c r="P211" s="22" t="n">
        <f aca="false">M211*F211</f>
        <v>134873</v>
      </c>
    </row>
    <row r="212" customFormat="false" ht="15" hidden="false" customHeight="false" outlineLevel="0" collapsed="false">
      <c r="A212" s="10" t="s">
        <v>334</v>
      </c>
      <c r="B212" s="21" t="n">
        <v>45918</v>
      </c>
      <c r="C212" s="10" t="s">
        <v>158</v>
      </c>
      <c r="D212" s="10" t="s">
        <v>119</v>
      </c>
      <c r="E212" s="10" t="n">
        <v>8703</v>
      </c>
      <c r="F212" s="22" t="n">
        <v>31</v>
      </c>
      <c r="G212" s="22" t="n">
        <v>70642</v>
      </c>
      <c r="H212" s="10" t="s">
        <v>214</v>
      </c>
      <c r="I212" s="10" t="str">
        <f aca="false">IFERROR(VLOOKUP(E212,Parameters!$G$6:$H$15,2,FALSE()),"")</f>
        <v>Passenger cars</v>
      </c>
      <c r="J212" s="10" t="str">
        <f aca="false">IFERROR(INDEX(Name_Map!$B$2:$B$102,MATCH(D212,Name_Map!$A$2:$A$102,0)),D212)</f>
        <v>Lima Car Import S.A.C.</v>
      </c>
      <c r="K212" s="22" t="n">
        <f aca="false">IF(F212&gt;0,G212/F212,0)</f>
        <v>2278.77419354839</v>
      </c>
      <c r="L212" s="10" t="str">
        <f aca="false">IF(AND(COUNTIFS($A$2:$A$307,A212,$E$2:$E$307,E212)&gt;1,COUNTIFS($A$2:$A$307,A212,$E$2:$E$307,E212,$G$2:$G$307,G212)=COUNTIFS($A$2:$A$307,A212,$E$2:$E$307,E212)),"CHECK","OK")</f>
        <v>OK</v>
      </c>
      <c r="M212" s="22" t="n">
        <f aca="false">IF(L212="CHECK",G212/SUMIFS($F$2:$F$307,$A$2:$A$307,A212,$E$2:$E$307,E212),K212)</f>
        <v>2278.77419354839</v>
      </c>
      <c r="N212" s="10" t="str">
        <f aca="false">IF(COUNTIF(Parameters!$E$6:$E$13,H212)&gt;0,"Yes","No")</f>
        <v>No</v>
      </c>
      <c r="O212" s="10" t="str">
        <f aca="false">IF(M212&lt;=Parameters!$B$3,IF(COUNTIF(Parameters!$A$6:$A$7,E212)&gt;0,"Vehicles","Out of scope"),IF(COUNTIF(Parameters!$C$6:$C$14,E212)&gt;0,"H&amp;H","Out of scope"))</f>
        <v>Vehicles</v>
      </c>
      <c r="P212" s="22" t="n">
        <f aca="false">M212*F212</f>
        <v>70642</v>
      </c>
    </row>
    <row r="213" customFormat="false" ht="15" hidden="false" customHeight="false" outlineLevel="0" collapsed="false">
      <c r="A213" s="10" t="s">
        <v>335</v>
      </c>
      <c r="B213" s="21" t="n">
        <v>45920</v>
      </c>
      <c r="C213" s="10" t="s">
        <v>161</v>
      </c>
      <c r="D213" s="10" t="s">
        <v>74</v>
      </c>
      <c r="E213" s="10" t="n">
        <v>8703</v>
      </c>
      <c r="F213" s="22" t="n">
        <v>3</v>
      </c>
      <c r="G213" s="22" t="n">
        <v>5880</v>
      </c>
      <c r="H213" s="10" t="s">
        <v>27</v>
      </c>
      <c r="I213" s="10" t="str">
        <f aca="false">IFERROR(VLOOKUP(E213,Parameters!$G$6:$H$15,2,FALSE()),"")</f>
        <v>Passenger cars</v>
      </c>
      <c r="J213" s="10" t="str">
        <f aca="false">IFERROR(INDEX(Name_Map!$B$2:$B$102,MATCH(D213,Name_Map!$A$2:$A$102,0)),D213)</f>
        <v>Canal Autos S.A.</v>
      </c>
      <c r="K213" s="22" t="n">
        <f aca="false">IF(F213&gt;0,G213/F213,0)</f>
        <v>1960</v>
      </c>
      <c r="L213" s="10" t="str">
        <f aca="false">IF(AND(COUNTIFS($A$2:$A$307,A213,$E$2:$E$307,E213)&gt;1,COUNTIFS($A$2:$A$307,A213,$E$2:$E$307,E213,$G$2:$G$307,G213)=COUNTIFS($A$2:$A$307,A213,$E$2:$E$307,E213)),"CHECK","OK")</f>
        <v>OK</v>
      </c>
      <c r="M213" s="22" t="n">
        <f aca="false">IF(L213="CHECK",G213/SUMIFS($F$2:$F$307,$A$2:$A$307,A213,$E$2:$E$307,E213),K213)</f>
        <v>1960</v>
      </c>
      <c r="N213" s="10" t="str">
        <f aca="false">IF(COUNTIF(Parameters!$E$6:$E$13,H213)&gt;0,"Yes","No")</f>
        <v>Yes</v>
      </c>
      <c r="O213" s="10" t="str">
        <f aca="false">IF(M213&lt;=Parameters!$B$3,IF(COUNTIF(Parameters!$A$6:$A$7,E213)&gt;0,"Vehicles","Out of scope"),IF(COUNTIF(Parameters!$C$6:$C$14,E213)&gt;0,"H&amp;H","Out of scope"))</f>
        <v>Vehicles</v>
      </c>
      <c r="P213" s="22" t="n">
        <f aca="false">M213*F213</f>
        <v>5880</v>
      </c>
    </row>
    <row r="214" customFormat="false" ht="15" hidden="false" customHeight="false" outlineLevel="0" collapsed="false">
      <c r="A214" s="10" t="s">
        <v>335</v>
      </c>
      <c r="B214" s="21" t="n">
        <v>45920</v>
      </c>
      <c r="C214" s="10" t="s">
        <v>161</v>
      </c>
      <c r="D214" s="10" t="s">
        <v>74</v>
      </c>
      <c r="E214" s="10" t="n">
        <v>8704</v>
      </c>
      <c r="F214" s="22" t="n">
        <v>15</v>
      </c>
      <c r="G214" s="22" t="n">
        <v>104109</v>
      </c>
      <c r="H214" s="10" t="s">
        <v>27</v>
      </c>
      <c r="I214" s="10" t="str">
        <f aca="false">IFERROR(VLOOKUP(E214,Parameters!$G$6:$H$15,2,FALSE()),"")</f>
        <v>Goods vehicles (trucks)</v>
      </c>
      <c r="J214" s="10" t="str">
        <f aca="false">IFERROR(INDEX(Name_Map!$B$2:$B$102,MATCH(D214,Name_Map!$A$2:$A$102,0)),D214)</f>
        <v>Canal Autos S.A.</v>
      </c>
      <c r="K214" s="22" t="n">
        <f aca="false">IF(F214&gt;0,G214/F214,0)</f>
        <v>6940.6</v>
      </c>
      <c r="L214" s="10" t="str">
        <f aca="false">IF(AND(COUNTIFS($A$2:$A$307,A214,$E$2:$E$307,E214)&gt;1,COUNTIFS($A$2:$A$307,A214,$E$2:$E$307,E214,$G$2:$G$307,G214)=COUNTIFS($A$2:$A$307,A214,$E$2:$E$307,E214)),"CHECK","OK")</f>
        <v>OK</v>
      </c>
      <c r="M214" s="22" t="n">
        <f aca="false">IF(L214="CHECK",G214/SUMIFS($F$2:$F$307,$A$2:$A$307,A214,$E$2:$E$307,E214),K214)</f>
        <v>6940.6</v>
      </c>
      <c r="N214" s="10" t="str">
        <f aca="false">IF(COUNTIF(Parameters!$E$6:$E$13,H214)&gt;0,"Yes","No")</f>
        <v>Yes</v>
      </c>
      <c r="O214" s="10" t="str">
        <f aca="false">IF(M214&lt;=Parameters!$B$3,IF(COUNTIF(Parameters!$A$6:$A$7,E214)&gt;0,"Vehicles","Out of scope"),IF(COUNTIF(Parameters!$C$6:$C$14,E214)&gt;0,"H&amp;H","Out of scope"))</f>
        <v>Vehicles</v>
      </c>
      <c r="P214" s="22" t="n">
        <f aca="false">M214*F214</f>
        <v>104109</v>
      </c>
    </row>
    <row r="215" customFormat="false" ht="15" hidden="false" customHeight="false" outlineLevel="0" collapsed="false">
      <c r="A215" s="10" t="s">
        <v>336</v>
      </c>
      <c r="B215" s="21" t="n">
        <v>45923</v>
      </c>
      <c r="C215" s="10" t="s">
        <v>157</v>
      </c>
      <c r="D215" s="10" t="s">
        <v>57</v>
      </c>
      <c r="E215" s="10" t="n">
        <v>8703</v>
      </c>
      <c r="F215" s="22" t="n">
        <v>31</v>
      </c>
      <c r="G215" s="22" t="n">
        <v>78098</v>
      </c>
      <c r="H215" s="10" t="s">
        <v>33</v>
      </c>
      <c r="I215" s="10" t="str">
        <f aca="false">IFERROR(VLOOKUP(E215,Parameters!$G$6:$H$15,2,FALSE()),"")</f>
        <v>Passenger cars</v>
      </c>
      <c r="J215" s="10" t="str">
        <f aca="false">IFERROR(INDEX(Name_Map!$B$2:$B$102,MATCH(D215,Name_Map!$A$2:$A$102,0)),D215)</f>
        <v>Autonorte Distribuciones S.A.S.</v>
      </c>
      <c r="K215" s="22" t="n">
        <f aca="false">IF(F215&gt;0,G215/F215,0)</f>
        <v>2519.29032258065</v>
      </c>
      <c r="L215" s="10" t="str">
        <f aca="false">IF(AND(COUNTIFS($A$2:$A$307,A215,$E$2:$E$307,E215)&gt;1,COUNTIFS($A$2:$A$307,A215,$E$2:$E$307,E215,$G$2:$G$307,G215)=COUNTIFS($A$2:$A$307,A215,$E$2:$E$307,E215)),"CHECK","OK")</f>
        <v>OK</v>
      </c>
      <c r="M215" s="22" t="n">
        <f aca="false">IF(L215="CHECK",G215/SUMIFS($F$2:$F$307,$A$2:$A$307,A215,$E$2:$E$307,E215),K215)</f>
        <v>2519.29032258065</v>
      </c>
      <c r="N215" s="10" t="str">
        <f aca="false">IF(COUNTIF(Parameters!$E$6:$E$13,H215)&gt;0,"Yes","No")</f>
        <v>Yes</v>
      </c>
      <c r="O215" s="10" t="str">
        <f aca="false">IF(M215&lt;=Parameters!$B$3,IF(COUNTIF(Parameters!$A$6:$A$7,E215)&gt;0,"Vehicles","Out of scope"),IF(COUNTIF(Parameters!$C$6:$C$14,E215)&gt;0,"H&amp;H","Out of scope"))</f>
        <v>Vehicles</v>
      </c>
      <c r="P215" s="22" t="n">
        <f aca="false">M215*F215</f>
        <v>78098</v>
      </c>
    </row>
    <row r="216" customFormat="false" ht="15" hidden="false" customHeight="false" outlineLevel="0" collapsed="false">
      <c r="A216" s="10" t="s">
        <v>337</v>
      </c>
      <c r="B216" s="21" t="n">
        <v>45926</v>
      </c>
      <c r="C216" s="10" t="s">
        <v>161</v>
      </c>
      <c r="D216" s="10" t="s">
        <v>97</v>
      </c>
      <c r="E216" s="10" t="n">
        <v>8426</v>
      </c>
      <c r="F216" s="22" t="n">
        <v>4</v>
      </c>
      <c r="G216" s="22" t="n">
        <v>49335</v>
      </c>
      <c r="H216" s="10" t="s">
        <v>33</v>
      </c>
      <c r="I216" s="10" t="str">
        <f aca="false">IFERROR(VLOOKUP(E216,Parameters!$G$6:$H$15,2,FALSE()),"")</f>
        <v>Cranes</v>
      </c>
      <c r="J216" s="10" t="str">
        <f aca="false">IFERROR(INDEX(Name_Map!$B$2:$B$102,MATCH(D216,Name_Map!$A$2:$A$102,0)),D216)</f>
        <v>Darien Construcciones S.A.</v>
      </c>
      <c r="K216" s="22" t="n">
        <f aca="false">IF(F216&gt;0,G216/F216,0)</f>
        <v>12333.75</v>
      </c>
      <c r="L216" s="10" t="str">
        <f aca="false">IF(AND(COUNTIFS($A$2:$A$307,A216,$E$2:$E$307,E216)&gt;1,COUNTIFS($A$2:$A$307,A216,$E$2:$E$307,E216,$G$2:$G$307,G216)=COUNTIFS($A$2:$A$307,A216,$E$2:$E$307,E216)),"CHECK","OK")</f>
        <v>OK</v>
      </c>
      <c r="M216" s="22" t="n">
        <f aca="false">IF(L216="CHECK",G216/SUMIFS($F$2:$F$307,$A$2:$A$307,A216,$E$2:$E$307,E216),K216)</f>
        <v>12333.75</v>
      </c>
      <c r="N216" s="10" t="str">
        <f aca="false">IF(COUNTIF(Parameters!$E$6:$E$13,H216)&gt;0,"Yes","No")</f>
        <v>Yes</v>
      </c>
      <c r="O216" s="10" t="str">
        <f aca="false">IF(M216&lt;=Parameters!$B$3,IF(COUNTIF(Parameters!$A$6:$A$7,E216)&gt;0,"Vehicles","Out of scope"),IF(COUNTIF(Parameters!$C$6:$C$14,E216)&gt;0,"H&amp;H","Out of scope"))</f>
        <v>Out of scope</v>
      </c>
      <c r="P216" s="22" t="n">
        <f aca="false">M216*F216</f>
        <v>49335</v>
      </c>
    </row>
    <row r="217" customFormat="false" ht="15" hidden="false" customHeight="false" outlineLevel="0" collapsed="false">
      <c r="A217" s="10" t="s">
        <v>338</v>
      </c>
      <c r="B217" s="21" t="n">
        <v>45927</v>
      </c>
      <c r="C217" s="10" t="s">
        <v>161</v>
      </c>
      <c r="D217" s="10" t="s">
        <v>117</v>
      </c>
      <c r="E217" s="10" t="n">
        <v>8703</v>
      </c>
      <c r="F217" s="22" t="n">
        <v>5</v>
      </c>
      <c r="G217" s="22" t="n">
        <v>11380</v>
      </c>
      <c r="H217" s="10" t="s">
        <v>37</v>
      </c>
      <c r="I217" s="10" t="str">
        <f aca="false">IFERROR(VLOOKUP(E217,Parameters!$G$6:$H$15,2,FALSE()),"")</f>
        <v>Passenger cars</v>
      </c>
      <c r="J217" s="10" t="str">
        <f aca="false">IFERROR(INDEX(Name_Map!$B$2:$B$102,MATCH(D217,Name_Map!$A$2:$A$102,0)),D217)</f>
        <v>Istmo Motors S.A.</v>
      </c>
      <c r="K217" s="22" t="n">
        <f aca="false">IF(F217&gt;0,G217/F217,0)</f>
        <v>2276</v>
      </c>
      <c r="L217" s="10" t="str">
        <f aca="false">IF(AND(COUNTIFS($A$2:$A$307,A217,$E$2:$E$307,E217)&gt;1,COUNTIFS($A$2:$A$307,A217,$E$2:$E$307,E217,$G$2:$G$307,G217)=COUNTIFS($A$2:$A$307,A217,$E$2:$E$307,E217)),"CHECK","OK")</f>
        <v>OK</v>
      </c>
      <c r="M217" s="22" t="n">
        <f aca="false">IF(L217="CHECK",G217/SUMIFS($F$2:$F$307,$A$2:$A$307,A217,$E$2:$E$307,E217),K217)</f>
        <v>2276</v>
      </c>
      <c r="N217" s="10" t="str">
        <f aca="false">IF(COUNTIF(Parameters!$E$6:$E$13,H217)&gt;0,"Yes","No")</f>
        <v>Yes</v>
      </c>
      <c r="O217" s="10" t="str">
        <f aca="false">IF(M217&lt;=Parameters!$B$3,IF(COUNTIF(Parameters!$A$6:$A$7,E217)&gt;0,"Vehicles","Out of scope"),IF(COUNTIF(Parameters!$C$6:$C$14,E217)&gt;0,"H&amp;H","Out of scope"))</f>
        <v>Vehicles</v>
      </c>
      <c r="P217" s="22" t="n">
        <f aca="false">M217*F217</f>
        <v>11380</v>
      </c>
    </row>
    <row r="218" customFormat="false" ht="15" hidden="false" customHeight="false" outlineLevel="0" collapsed="false">
      <c r="A218" s="10" t="s">
        <v>338</v>
      </c>
      <c r="B218" s="21" t="n">
        <v>45927</v>
      </c>
      <c r="C218" s="10" t="s">
        <v>161</v>
      </c>
      <c r="D218" s="10" t="s">
        <v>113</v>
      </c>
      <c r="E218" s="10" t="n">
        <v>8704</v>
      </c>
      <c r="F218" s="22" t="n">
        <v>36</v>
      </c>
      <c r="G218" s="22" t="n">
        <v>123438</v>
      </c>
      <c r="H218" s="10" t="s">
        <v>37</v>
      </c>
      <c r="I218" s="10" t="str">
        <f aca="false">IFERROR(VLOOKUP(E218,Parameters!$G$6:$H$15,2,FALSE()),"")</f>
        <v>Goods vehicles (trucks)</v>
      </c>
      <c r="J218" s="10" t="str">
        <f aca="false">IFERROR(INDEX(Name_Map!$B$2:$B$102,MATCH(D218,Name_Map!$A$2:$A$102,0)),D218)</f>
        <v>Istmo Motors S.A.</v>
      </c>
      <c r="K218" s="22" t="n">
        <f aca="false">IF(F218&gt;0,G218/F218,0)</f>
        <v>3428.83333333333</v>
      </c>
      <c r="L218" s="10" t="str">
        <f aca="false">IF(AND(COUNTIFS($A$2:$A$307,A218,$E$2:$E$307,E218)&gt;1,COUNTIFS($A$2:$A$307,A218,$E$2:$E$307,E218,$G$2:$G$307,G218)=COUNTIFS($A$2:$A$307,A218,$E$2:$E$307,E218)),"CHECK","OK")</f>
        <v>OK</v>
      </c>
      <c r="M218" s="22" t="n">
        <f aca="false">IF(L218="CHECK",G218/SUMIFS($F$2:$F$307,$A$2:$A$307,A218,$E$2:$E$307,E218),K218)</f>
        <v>3428.83333333333</v>
      </c>
      <c r="N218" s="10" t="str">
        <f aca="false">IF(COUNTIF(Parameters!$E$6:$E$13,H218)&gt;0,"Yes","No")</f>
        <v>Yes</v>
      </c>
      <c r="O218" s="10" t="str">
        <f aca="false">IF(M218&lt;=Parameters!$B$3,IF(COUNTIF(Parameters!$A$6:$A$7,E218)&gt;0,"Vehicles","Out of scope"),IF(COUNTIF(Parameters!$C$6:$C$14,E218)&gt;0,"H&amp;H","Out of scope"))</f>
        <v>Vehicles</v>
      </c>
      <c r="P218" s="22" t="n">
        <f aca="false">M218*F218</f>
        <v>123438</v>
      </c>
    </row>
    <row r="219" customFormat="false" ht="15" hidden="false" customHeight="false" outlineLevel="0" collapsed="false">
      <c r="A219" s="10" t="s">
        <v>339</v>
      </c>
      <c r="B219" s="21" t="n">
        <v>45928</v>
      </c>
      <c r="C219" s="10" t="s">
        <v>156</v>
      </c>
      <c r="D219" s="10" t="s">
        <v>66</v>
      </c>
      <c r="E219" s="10" t="n">
        <v>8703</v>
      </c>
      <c r="F219" s="22" t="n">
        <v>36</v>
      </c>
      <c r="G219" s="22" t="n">
        <v>61099</v>
      </c>
      <c r="H219" s="10" t="s">
        <v>27</v>
      </c>
      <c r="I219" s="10" t="str">
        <f aca="false">IFERROR(VLOOKUP(E219,Parameters!$G$6:$H$15,2,FALSE()),"")</f>
        <v>Passenger cars</v>
      </c>
      <c r="J219" s="10" t="str">
        <f aca="false">IFERROR(INDEX(Name_Map!$B$2:$B$102,MATCH(D219,Name_Map!$A$2:$A$102,0)),D219)</f>
        <v>Austral Truck Center SpA</v>
      </c>
      <c r="K219" s="22" t="n">
        <f aca="false">IF(F219&gt;0,G219/F219,0)</f>
        <v>1697.19444444444</v>
      </c>
      <c r="L219" s="10" t="str">
        <f aca="false">IF(AND(COUNTIFS($A$2:$A$307,A219,$E$2:$E$307,E219)&gt;1,COUNTIFS($A$2:$A$307,A219,$E$2:$E$307,E219,$G$2:$G$307,G219)=COUNTIFS($A$2:$A$307,A219,$E$2:$E$307,E219)),"CHECK","OK")</f>
        <v>OK</v>
      </c>
      <c r="M219" s="22" t="n">
        <f aca="false">IF(L219="CHECK",G219/SUMIFS($F$2:$F$307,$A$2:$A$307,A219,$E$2:$E$307,E219),K219)</f>
        <v>1697.19444444444</v>
      </c>
      <c r="N219" s="10" t="str">
        <f aca="false">IF(COUNTIF(Parameters!$E$6:$E$13,H219)&gt;0,"Yes","No")</f>
        <v>Yes</v>
      </c>
      <c r="O219" s="10" t="str">
        <f aca="false">IF(M219&lt;=Parameters!$B$3,IF(COUNTIF(Parameters!$A$6:$A$7,E219)&gt;0,"Vehicles","Out of scope"),IF(COUNTIF(Parameters!$C$6:$C$14,E219)&gt;0,"H&amp;H","Out of scope"))</f>
        <v>Vehicles</v>
      </c>
      <c r="P219" s="22" t="n">
        <f aca="false">M219*F219</f>
        <v>61099</v>
      </c>
    </row>
    <row r="220" customFormat="false" ht="15" hidden="false" customHeight="false" outlineLevel="0" collapsed="false">
      <c r="A220" s="10" t="s">
        <v>339</v>
      </c>
      <c r="B220" s="21" t="n">
        <v>45928</v>
      </c>
      <c r="C220" s="10" t="s">
        <v>156</v>
      </c>
      <c r="D220" s="10" t="s">
        <v>56</v>
      </c>
      <c r="E220" s="10" t="n">
        <v>8703</v>
      </c>
      <c r="F220" s="22" t="n">
        <v>20</v>
      </c>
      <c r="G220" s="22" t="n">
        <v>40800</v>
      </c>
      <c r="H220" s="10" t="s">
        <v>27</v>
      </c>
      <c r="I220" s="10" t="str">
        <f aca="false">IFERROR(VLOOKUP(E220,Parameters!$G$6:$H$15,2,FALSE()),"")</f>
        <v>Passenger cars</v>
      </c>
      <c r="J220" s="10" t="str">
        <f aca="false">IFERROR(INDEX(Name_Map!$B$2:$B$102,MATCH(D220,Name_Map!$A$2:$A$102,0)),D220)</f>
        <v>Austral Truck Center SpA</v>
      </c>
      <c r="K220" s="22" t="n">
        <f aca="false">IF(F220&gt;0,G220/F220,0)</f>
        <v>2040</v>
      </c>
      <c r="L220" s="10" t="str">
        <f aca="false">IF(AND(COUNTIFS($A$2:$A$307,A220,$E$2:$E$307,E220)&gt;1,COUNTIFS($A$2:$A$307,A220,$E$2:$E$307,E220,$G$2:$G$307,G220)=COUNTIFS($A$2:$A$307,A220,$E$2:$E$307,E220)),"CHECK","OK")</f>
        <v>OK</v>
      </c>
      <c r="M220" s="22" t="n">
        <f aca="false">IF(L220="CHECK",G220/SUMIFS($F$2:$F$307,$A$2:$A$307,A220,$E$2:$E$307,E220),K220)</f>
        <v>2040</v>
      </c>
      <c r="N220" s="10" t="str">
        <f aca="false">IF(COUNTIF(Parameters!$E$6:$E$13,H220)&gt;0,"Yes","No")</f>
        <v>Yes</v>
      </c>
      <c r="O220" s="10" t="str">
        <f aca="false">IF(M220&lt;=Parameters!$B$3,IF(COUNTIF(Parameters!$A$6:$A$7,E220)&gt;0,"Vehicles","Out of scope"),IF(COUNTIF(Parameters!$C$6:$C$14,E220)&gt;0,"H&amp;H","Out of scope"))</f>
        <v>Vehicles</v>
      </c>
      <c r="P220" s="22" t="n">
        <f aca="false">M220*F220</f>
        <v>40800</v>
      </c>
    </row>
    <row r="221" customFormat="false" ht="15" hidden="false" customHeight="false" outlineLevel="0" collapsed="false">
      <c r="A221" s="10" t="s">
        <v>340</v>
      </c>
      <c r="B221" s="21" t="n">
        <v>45928</v>
      </c>
      <c r="C221" s="10" t="s">
        <v>156</v>
      </c>
      <c r="D221" s="10" t="s">
        <v>66</v>
      </c>
      <c r="E221" s="10" t="n">
        <v>8704</v>
      </c>
      <c r="F221" s="22" t="n">
        <v>3</v>
      </c>
      <c r="G221" s="22" t="n">
        <v>29647</v>
      </c>
      <c r="H221" s="10" t="s">
        <v>35</v>
      </c>
      <c r="I221" s="10" t="str">
        <f aca="false">IFERROR(VLOOKUP(E221,Parameters!$G$6:$H$15,2,FALSE()),"")</f>
        <v>Goods vehicles (trucks)</v>
      </c>
      <c r="J221" s="10" t="str">
        <f aca="false">IFERROR(INDEX(Name_Map!$B$2:$B$102,MATCH(D221,Name_Map!$A$2:$A$102,0)),D221)</f>
        <v>Austral Truck Center SpA</v>
      </c>
      <c r="K221" s="22" t="n">
        <f aca="false">IF(F221&gt;0,G221/F221,0)</f>
        <v>9882.33333333333</v>
      </c>
      <c r="L221" s="10" t="str">
        <f aca="false">IF(AND(COUNTIFS($A$2:$A$307,A221,$E$2:$E$307,E221)&gt;1,COUNTIFS($A$2:$A$307,A221,$E$2:$E$307,E221,$G$2:$G$307,G221)=COUNTIFS($A$2:$A$307,A221,$E$2:$E$307,E221)),"CHECK","OK")</f>
        <v>OK</v>
      </c>
      <c r="M221" s="22" t="n">
        <f aca="false">IF(L221="CHECK",G221/SUMIFS($F$2:$F$307,$A$2:$A$307,A221,$E$2:$E$307,E221),K221)</f>
        <v>9882.33333333333</v>
      </c>
      <c r="N221" s="10" t="str">
        <f aca="false">IF(COUNTIF(Parameters!$E$6:$E$13,H221)&gt;0,"Yes","No")</f>
        <v>Yes</v>
      </c>
      <c r="O221" s="10" t="str">
        <f aca="false">IF(M221&lt;=Parameters!$B$3,IF(COUNTIF(Parameters!$A$6:$A$7,E221)&gt;0,"Vehicles","Out of scope"),IF(COUNTIF(Parameters!$C$6:$C$14,E221)&gt;0,"H&amp;H","Out of scope"))</f>
        <v>Vehicles</v>
      </c>
      <c r="P221" s="22" t="n">
        <f aca="false">M221*F221</f>
        <v>29647</v>
      </c>
    </row>
    <row r="222" customFormat="false" ht="15" hidden="false" customHeight="false" outlineLevel="0" collapsed="false">
      <c r="A222" s="10" t="s">
        <v>341</v>
      </c>
      <c r="B222" s="21" t="n">
        <v>45928</v>
      </c>
      <c r="C222" s="10" t="s">
        <v>159</v>
      </c>
      <c r="D222" s="10" t="s">
        <v>105</v>
      </c>
      <c r="E222" s="10" t="n">
        <v>8704</v>
      </c>
      <c r="F222" s="22" t="n">
        <v>3</v>
      </c>
      <c r="G222" s="22" t="n">
        <v>38878</v>
      </c>
      <c r="H222" s="10" t="s">
        <v>31</v>
      </c>
      <c r="I222" s="10" t="str">
        <f aca="false">IFERROR(VLOOKUP(E222,Parameters!$G$6:$H$15,2,FALSE()),"")</f>
        <v>Goods vehicles (trucks)</v>
      </c>
      <c r="J222" s="10" t="str">
        <f aca="false">IFERROR(INDEX(Name_Map!$B$2:$B$102,MATCH(D222,Name_Map!$A$2:$A$102,0)),D222)</f>
        <v>Equinoccio Maquinaria S.A.</v>
      </c>
      <c r="K222" s="22" t="n">
        <f aca="false">IF(F222&gt;0,G222/F222,0)</f>
        <v>12959.3333333333</v>
      </c>
      <c r="L222" s="10" t="str">
        <f aca="false">IF(AND(COUNTIFS($A$2:$A$307,A222,$E$2:$E$307,E222)&gt;1,COUNTIFS($A$2:$A$307,A222,$E$2:$E$307,E222,$G$2:$G$307,G222)=COUNTIFS($A$2:$A$307,A222,$E$2:$E$307,E222)),"CHECK","OK")</f>
        <v>OK</v>
      </c>
      <c r="M222" s="22" t="n">
        <f aca="false">IF(L222="CHECK",G222/SUMIFS($F$2:$F$307,$A$2:$A$307,A222,$E$2:$E$307,E222),K222)</f>
        <v>12959.3333333333</v>
      </c>
      <c r="N222" s="10" t="str">
        <f aca="false">IF(COUNTIF(Parameters!$E$6:$E$13,H222)&gt;0,"Yes","No")</f>
        <v>Yes</v>
      </c>
      <c r="O222" s="10" t="str">
        <f aca="false">IF(M222&lt;=Parameters!$B$3,IF(COUNTIF(Parameters!$A$6:$A$7,E222)&gt;0,"Vehicles","Out of scope"),IF(COUNTIF(Parameters!$C$6:$C$14,E222)&gt;0,"H&amp;H","Out of scope"))</f>
        <v>Vehicles</v>
      </c>
      <c r="P222" s="22" t="n">
        <f aca="false">M222*F222</f>
        <v>38878</v>
      </c>
    </row>
    <row r="223" customFormat="false" ht="15" hidden="false" customHeight="false" outlineLevel="0" collapsed="false">
      <c r="A223" s="10" t="s">
        <v>341</v>
      </c>
      <c r="B223" s="21" t="n">
        <v>45928</v>
      </c>
      <c r="C223" s="10" t="s">
        <v>159</v>
      </c>
      <c r="D223" s="10" t="s">
        <v>101</v>
      </c>
      <c r="E223" s="10" t="n">
        <v>8702</v>
      </c>
      <c r="F223" s="22" t="n">
        <v>1</v>
      </c>
      <c r="G223" s="22" t="n">
        <v>26071</v>
      </c>
      <c r="H223" s="10" t="s">
        <v>31</v>
      </c>
      <c r="I223" s="10" t="str">
        <f aca="false">IFERROR(VLOOKUP(E223,Parameters!$G$6:$H$15,2,FALSE()),"")</f>
        <v>Buses</v>
      </c>
      <c r="J223" s="10" t="str">
        <f aca="false">IFERROR(INDEX(Name_Map!$B$2:$B$102,MATCH(D223,Name_Map!$A$2:$A$102,0)),D223)</f>
        <v>Equinoccio Maquinaria S.A.</v>
      </c>
      <c r="K223" s="22" t="n">
        <f aca="false">IF(F223&gt;0,G223/F223,0)</f>
        <v>26071</v>
      </c>
      <c r="L223" s="10" t="str">
        <f aca="false">IF(AND(COUNTIFS($A$2:$A$307,A223,$E$2:$E$307,E223)&gt;1,COUNTIFS($A$2:$A$307,A223,$E$2:$E$307,E223,$G$2:$G$307,G223)=COUNTIFS($A$2:$A$307,A223,$E$2:$E$307,E223)),"CHECK","OK")</f>
        <v>OK</v>
      </c>
      <c r="M223" s="22" t="n">
        <f aca="false">IF(L223="CHECK",G223/SUMIFS($F$2:$F$307,$A$2:$A$307,A223,$E$2:$E$307,E223),K223)</f>
        <v>26071</v>
      </c>
      <c r="N223" s="10" t="str">
        <f aca="false">IF(COUNTIF(Parameters!$E$6:$E$13,H223)&gt;0,"Yes","No")</f>
        <v>Yes</v>
      </c>
      <c r="O223" s="10" t="str">
        <f aca="false">IF(M223&lt;=Parameters!$B$3,IF(COUNTIF(Parameters!$A$6:$A$7,E223)&gt;0,"Vehicles","Out of scope"),IF(COUNTIF(Parameters!$C$6:$C$14,E223)&gt;0,"H&amp;H","Out of scope"))</f>
        <v>H&amp;H</v>
      </c>
      <c r="P223" s="22" t="n">
        <f aca="false">M223*F223</f>
        <v>26071</v>
      </c>
    </row>
    <row r="224" customFormat="false" ht="15" hidden="false" customHeight="false" outlineLevel="0" collapsed="false">
      <c r="A224" s="10" t="s">
        <v>342</v>
      </c>
      <c r="B224" s="21" t="n">
        <v>45929</v>
      </c>
      <c r="C224" s="10" t="s">
        <v>159</v>
      </c>
      <c r="D224" s="10" t="s">
        <v>107</v>
      </c>
      <c r="E224" s="10" t="n">
        <v>8704</v>
      </c>
      <c r="F224" s="22" t="n">
        <v>11</v>
      </c>
      <c r="G224" s="22" t="n">
        <v>45517</v>
      </c>
      <c r="H224" s="10" t="s">
        <v>37</v>
      </c>
      <c r="I224" s="10" t="str">
        <f aca="false">IFERROR(VLOOKUP(E224,Parameters!$G$6:$H$15,2,FALSE()),"")</f>
        <v>Goods vehicles (trucks)</v>
      </c>
      <c r="J224" s="10" t="str">
        <f aca="false">IFERROR(INDEX(Name_Map!$B$2:$B$102,MATCH(D224,Name_Map!$A$2:$A$102,0)),D224)</f>
        <v>Guayas Autos S.A.</v>
      </c>
      <c r="K224" s="22" t="n">
        <f aca="false">IF(F224&gt;0,G224/F224,0)</f>
        <v>4137.90909090909</v>
      </c>
      <c r="L224" s="10" t="str">
        <f aca="false">IF(AND(COUNTIFS($A$2:$A$307,A224,$E$2:$E$307,E224)&gt;1,COUNTIFS($A$2:$A$307,A224,$E$2:$E$307,E224,$G$2:$G$307,G224)=COUNTIFS($A$2:$A$307,A224,$E$2:$E$307,E224)),"CHECK","OK")</f>
        <v>OK</v>
      </c>
      <c r="M224" s="22" t="n">
        <f aca="false">IF(L224="CHECK",G224/SUMIFS($F$2:$F$307,$A$2:$A$307,A224,$E$2:$E$307,E224),K224)</f>
        <v>4137.90909090909</v>
      </c>
      <c r="N224" s="10" t="str">
        <f aca="false">IF(COUNTIF(Parameters!$E$6:$E$13,H224)&gt;0,"Yes","No")</f>
        <v>Yes</v>
      </c>
      <c r="O224" s="10" t="str">
        <f aca="false">IF(M224&lt;=Parameters!$B$3,IF(COUNTIF(Parameters!$A$6:$A$7,E224)&gt;0,"Vehicles","Out of scope"),IF(COUNTIF(Parameters!$C$6:$C$14,E224)&gt;0,"H&amp;H","Out of scope"))</f>
        <v>Vehicles</v>
      </c>
      <c r="P224" s="22" t="n">
        <f aca="false">M224*F224</f>
        <v>45517</v>
      </c>
    </row>
    <row r="225" customFormat="false" ht="15" hidden="false" customHeight="false" outlineLevel="0" collapsed="false">
      <c r="A225" s="10" t="s">
        <v>342</v>
      </c>
      <c r="B225" s="21" t="n">
        <v>45929</v>
      </c>
      <c r="C225" s="10" t="s">
        <v>159</v>
      </c>
      <c r="D225" s="10" t="s">
        <v>107</v>
      </c>
      <c r="E225" s="10" t="n">
        <v>8703</v>
      </c>
      <c r="F225" s="22" t="n">
        <v>13</v>
      </c>
      <c r="G225" s="22" t="n">
        <v>31062</v>
      </c>
      <c r="H225" s="10" t="s">
        <v>37</v>
      </c>
      <c r="I225" s="10" t="str">
        <f aca="false">IFERROR(VLOOKUP(E225,Parameters!$G$6:$H$15,2,FALSE()),"")</f>
        <v>Passenger cars</v>
      </c>
      <c r="J225" s="10" t="str">
        <f aca="false">IFERROR(INDEX(Name_Map!$B$2:$B$102,MATCH(D225,Name_Map!$A$2:$A$102,0)),D225)</f>
        <v>Guayas Autos S.A.</v>
      </c>
      <c r="K225" s="22" t="n">
        <f aca="false">IF(F225&gt;0,G225/F225,0)</f>
        <v>2389.38461538462</v>
      </c>
      <c r="L225" s="10" t="str">
        <f aca="false">IF(AND(COUNTIFS($A$2:$A$307,A225,$E$2:$E$307,E225)&gt;1,COUNTIFS($A$2:$A$307,A225,$E$2:$E$307,E225,$G$2:$G$307,G225)=COUNTIFS($A$2:$A$307,A225,$E$2:$E$307,E225)),"CHECK","OK")</f>
        <v>OK</v>
      </c>
      <c r="M225" s="22" t="n">
        <f aca="false">IF(L225="CHECK",G225/SUMIFS($F$2:$F$307,$A$2:$A$307,A225,$E$2:$E$307,E225),K225)</f>
        <v>2389.38461538462</v>
      </c>
      <c r="N225" s="10" t="str">
        <f aca="false">IF(COUNTIF(Parameters!$E$6:$E$13,H225)&gt;0,"Yes","No")</f>
        <v>Yes</v>
      </c>
      <c r="O225" s="10" t="str">
        <f aca="false">IF(M225&lt;=Parameters!$B$3,IF(COUNTIF(Parameters!$A$6:$A$7,E225)&gt;0,"Vehicles","Out of scope"),IF(COUNTIF(Parameters!$C$6:$C$14,E225)&gt;0,"H&amp;H","Out of scope"))</f>
        <v>Vehicles</v>
      </c>
      <c r="P225" s="22" t="n">
        <f aca="false">M225*F225</f>
        <v>31062</v>
      </c>
    </row>
    <row r="226" customFormat="false" ht="15" hidden="false" customHeight="false" outlineLevel="0" collapsed="false">
      <c r="A226" s="10" t="s">
        <v>343</v>
      </c>
      <c r="B226" s="21" t="n">
        <v>45929</v>
      </c>
      <c r="C226" s="10" t="s">
        <v>158</v>
      </c>
      <c r="D226" s="10" t="s">
        <v>128</v>
      </c>
      <c r="E226" s="10" t="n">
        <v>8429</v>
      </c>
      <c r="F226" s="22" t="n">
        <v>3</v>
      </c>
      <c r="G226" s="22" t="n">
        <v>113153</v>
      </c>
      <c r="H226" s="10" t="s">
        <v>35</v>
      </c>
      <c r="I226" s="10" t="str">
        <f aca="false">IFERROR(VLOOKUP(E226,Parameters!$G$6:$H$15,2,FALSE()),"")</f>
        <v>Bulldozers / excavators / loaders</v>
      </c>
      <c r="J226" s="10" t="str">
        <f aca="false">IFERROR(INDEX(Name_Map!$B$2:$B$102,MATCH(D226,Name_Map!$A$2:$A$102,0)),D226)</f>
        <v>Minera Equipos del Sur S.A.C.</v>
      </c>
      <c r="K226" s="22" t="n">
        <f aca="false">IF(F226&gt;0,G226/F226,0)</f>
        <v>37717.6666666667</v>
      </c>
      <c r="L226" s="10" t="str">
        <f aca="false">IF(AND(COUNTIFS($A$2:$A$307,A226,$E$2:$E$307,E226)&gt;1,COUNTIFS($A$2:$A$307,A226,$E$2:$E$307,E226,$G$2:$G$307,G226)=COUNTIFS($A$2:$A$307,A226,$E$2:$E$307,E226)),"CHECK","OK")</f>
        <v>OK</v>
      </c>
      <c r="M226" s="22" t="n">
        <f aca="false">IF(L226="CHECK",G226/SUMIFS($F$2:$F$307,$A$2:$A$307,A226,$E$2:$E$307,E226),K226)</f>
        <v>37717.6666666667</v>
      </c>
      <c r="N226" s="10" t="str">
        <f aca="false">IF(COUNTIF(Parameters!$E$6:$E$13,H226)&gt;0,"Yes","No")</f>
        <v>Yes</v>
      </c>
      <c r="O226" s="10" t="str">
        <f aca="false">IF(M226&lt;=Parameters!$B$3,IF(COUNTIF(Parameters!$A$6:$A$7,E226)&gt;0,"Vehicles","Out of scope"),IF(COUNTIF(Parameters!$C$6:$C$14,E226)&gt;0,"H&amp;H","Out of scope"))</f>
        <v>H&amp;H</v>
      </c>
      <c r="P226" s="22" t="n">
        <f aca="false">M226*F226</f>
        <v>113153</v>
      </c>
    </row>
    <row r="227" customFormat="false" ht="15" hidden="false" customHeight="false" outlineLevel="0" collapsed="false">
      <c r="A227" s="10" t="s">
        <v>344</v>
      </c>
      <c r="B227" s="21" t="n">
        <v>45930</v>
      </c>
      <c r="C227" s="10" t="s">
        <v>157</v>
      </c>
      <c r="D227" s="10" t="s">
        <v>126</v>
      </c>
      <c r="E227" s="10" t="n">
        <v>8427</v>
      </c>
      <c r="F227" s="22" t="n">
        <v>1</v>
      </c>
      <c r="G227" s="22" t="n">
        <v>47671</v>
      </c>
      <c r="H227" s="10" t="s">
        <v>37</v>
      </c>
      <c r="I227" s="10" t="str">
        <f aca="false">IFERROR(VLOOKUP(E227,Parameters!$G$6:$H$15,2,FALSE()),"")</f>
        <v>Forklift trucks</v>
      </c>
      <c r="J227" s="10" t="str">
        <f aca="false">IFERROR(INDEX(Name_Map!$B$2:$B$102,MATCH(D227,Name_Map!$A$2:$A$102,0)),D227)</f>
        <v>Maquinaria Andina S.A.S.</v>
      </c>
      <c r="K227" s="22" t="n">
        <f aca="false">IF(F227&gt;0,G227/F227,0)</f>
        <v>47671</v>
      </c>
      <c r="L227" s="10" t="str">
        <f aca="false">IF(AND(COUNTIFS($A$2:$A$307,A227,$E$2:$E$307,E227)&gt;1,COUNTIFS($A$2:$A$307,A227,$E$2:$E$307,E227,$G$2:$G$307,G227)=COUNTIFS($A$2:$A$307,A227,$E$2:$E$307,E227)),"CHECK","OK")</f>
        <v>OK</v>
      </c>
      <c r="M227" s="22" t="n">
        <f aca="false">IF(L227="CHECK",G227/SUMIFS($F$2:$F$307,$A$2:$A$307,A227,$E$2:$E$307,E227),K227)</f>
        <v>47671</v>
      </c>
      <c r="N227" s="10" t="str">
        <f aca="false">IF(COUNTIF(Parameters!$E$6:$E$13,H227)&gt;0,"Yes","No")</f>
        <v>Yes</v>
      </c>
      <c r="O227" s="10" t="str">
        <f aca="false">IF(M227&lt;=Parameters!$B$3,IF(COUNTIF(Parameters!$A$6:$A$7,E227)&gt;0,"Vehicles","Out of scope"),IF(COUNTIF(Parameters!$C$6:$C$14,E227)&gt;0,"H&amp;H","Out of scope"))</f>
        <v>H&amp;H</v>
      </c>
      <c r="P227" s="22" t="n">
        <f aca="false">M227*F227</f>
        <v>47671</v>
      </c>
    </row>
    <row r="228" customFormat="false" ht="15" hidden="false" customHeight="false" outlineLevel="0" collapsed="false">
      <c r="A228" s="10" t="s">
        <v>344</v>
      </c>
      <c r="B228" s="21" t="n">
        <v>45930</v>
      </c>
      <c r="C228" s="10" t="s">
        <v>157</v>
      </c>
      <c r="D228" s="10" t="s">
        <v>127</v>
      </c>
      <c r="E228" s="10" t="n">
        <v>8429</v>
      </c>
      <c r="F228" s="22" t="n">
        <v>2</v>
      </c>
      <c r="G228" s="22" t="n">
        <v>99420</v>
      </c>
      <c r="H228" s="10" t="s">
        <v>37</v>
      </c>
      <c r="I228" s="10" t="str">
        <f aca="false">IFERROR(VLOOKUP(E228,Parameters!$G$6:$H$15,2,FALSE()),"")</f>
        <v>Bulldozers / excavators / loaders</v>
      </c>
      <c r="J228" s="10" t="str">
        <f aca="false">IFERROR(INDEX(Name_Map!$B$2:$B$102,MATCH(D228,Name_Map!$A$2:$A$102,0)),D228)</f>
        <v>Maquinaria Andina S.A.S.</v>
      </c>
      <c r="K228" s="22" t="n">
        <f aca="false">IF(F228&gt;0,G228/F228,0)</f>
        <v>49710</v>
      </c>
      <c r="L228" s="10" t="str">
        <f aca="false">IF(AND(COUNTIFS($A$2:$A$307,A228,$E$2:$E$307,E228)&gt;1,COUNTIFS($A$2:$A$307,A228,$E$2:$E$307,E228,$G$2:$G$307,G228)=COUNTIFS($A$2:$A$307,A228,$E$2:$E$307,E228)),"CHECK","OK")</f>
        <v>OK</v>
      </c>
      <c r="M228" s="22" t="n">
        <f aca="false">IF(L228="CHECK",G228/SUMIFS($F$2:$F$307,$A$2:$A$307,A228,$E$2:$E$307,E228),K228)</f>
        <v>49710</v>
      </c>
      <c r="N228" s="10" t="str">
        <f aca="false">IF(COUNTIF(Parameters!$E$6:$E$13,H228)&gt;0,"Yes","No")</f>
        <v>Yes</v>
      </c>
      <c r="O228" s="10" t="str">
        <f aca="false">IF(M228&lt;=Parameters!$B$3,IF(COUNTIF(Parameters!$A$6:$A$7,E228)&gt;0,"Vehicles","Out of scope"),IF(COUNTIF(Parameters!$C$6:$C$14,E228)&gt;0,"H&amp;H","Out of scope"))</f>
        <v>H&amp;H</v>
      </c>
      <c r="P228" s="22" t="n">
        <f aca="false">M228*F228</f>
        <v>99420</v>
      </c>
    </row>
    <row r="229" customFormat="false" ht="15" hidden="false" customHeight="false" outlineLevel="0" collapsed="false">
      <c r="A229" s="10" t="s">
        <v>345</v>
      </c>
      <c r="B229" s="21" t="n">
        <v>45936</v>
      </c>
      <c r="C229" s="10" t="s">
        <v>161</v>
      </c>
      <c r="D229" s="10" t="s">
        <v>91</v>
      </c>
      <c r="E229" s="10" t="n">
        <v>8701</v>
      </c>
      <c r="F229" s="22" t="n">
        <v>2</v>
      </c>
      <c r="G229" s="22" t="n">
        <v>83242</v>
      </c>
      <c r="H229" s="10" t="s">
        <v>27</v>
      </c>
      <c r="I229" s="10" t="str">
        <f aca="false">IFERROR(VLOOKUP(E229,Parameters!$G$6:$H$15,2,FALSE()),"")</f>
        <v>Tractors</v>
      </c>
      <c r="J229" s="10" t="str">
        <f aca="false">IFERROR(INDEX(Name_Map!$B$2:$B$102,MATCH(D229,Name_Map!$A$2:$A$102,0)),D229)</f>
        <v>Chiriqui Agro Machinery S.A.</v>
      </c>
      <c r="K229" s="22" t="n">
        <f aca="false">IF(F229&gt;0,G229/F229,0)</f>
        <v>41621</v>
      </c>
      <c r="L229" s="10" t="str">
        <f aca="false">IF(AND(COUNTIFS($A$2:$A$307,A229,$E$2:$E$307,E229)&gt;1,COUNTIFS($A$2:$A$307,A229,$E$2:$E$307,E229,$G$2:$G$307,G229)=COUNTIFS($A$2:$A$307,A229,$E$2:$E$307,E229)),"CHECK","OK")</f>
        <v>OK</v>
      </c>
      <c r="M229" s="22" t="n">
        <f aca="false">IF(L229="CHECK",G229/SUMIFS($F$2:$F$307,$A$2:$A$307,A229,$E$2:$E$307,E229),K229)</f>
        <v>41621</v>
      </c>
      <c r="N229" s="10" t="str">
        <f aca="false">IF(COUNTIF(Parameters!$E$6:$E$13,H229)&gt;0,"Yes","No")</f>
        <v>Yes</v>
      </c>
      <c r="O229" s="10" t="str">
        <f aca="false">IF(M229&lt;=Parameters!$B$3,IF(COUNTIF(Parameters!$A$6:$A$7,E229)&gt;0,"Vehicles","Out of scope"),IF(COUNTIF(Parameters!$C$6:$C$14,E229)&gt;0,"H&amp;H","Out of scope"))</f>
        <v>H&amp;H</v>
      </c>
      <c r="P229" s="22" t="n">
        <f aca="false">M229*F229</f>
        <v>83242</v>
      </c>
    </row>
    <row r="230" customFormat="false" ht="15" hidden="false" customHeight="false" outlineLevel="0" collapsed="false">
      <c r="A230" s="10" t="s">
        <v>346</v>
      </c>
      <c r="B230" s="21" t="n">
        <v>45937</v>
      </c>
      <c r="C230" s="10" t="s">
        <v>160</v>
      </c>
      <c r="D230" s="10" t="s">
        <v>138</v>
      </c>
      <c r="E230" s="10" t="n">
        <v>8704</v>
      </c>
      <c r="F230" s="22" t="n">
        <v>20</v>
      </c>
      <c r="G230" s="22" t="n">
        <v>94254</v>
      </c>
      <c r="H230" s="10" t="s">
        <v>29</v>
      </c>
      <c r="I230" s="10" t="str">
        <f aca="false">IFERROR(VLOOKUP(E230,Parameters!$G$6:$H$15,2,FALSE()),"")</f>
        <v>Goods vehicles (trucks)</v>
      </c>
      <c r="J230" s="10" t="str">
        <f aca="false">IFERROR(INDEX(Name_Map!$B$2:$B$102,MATCH(D230,Name_Map!$A$2:$A$102,0)),D230)</f>
        <v>Quisqueya Motors S.R.L.</v>
      </c>
      <c r="K230" s="22" t="n">
        <f aca="false">IF(F230&gt;0,G230/F230,0)</f>
        <v>4712.7</v>
      </c>
      <c r="L230" s="10" t="str">
        <f aca="false">IF(AND(COUNTIFS($A$2:$A$307,A230,$E$2:$E$307,E230)&gt;1,COUNTIFS($A$2:$A$307,A230,$E$2:$E$307,E230,$G$2:$G$307,G230)=COUNTIFS($A$2:$A$307,A230,$E$2:$E$307,E230)),"CHECK","OK")</f>
        <v>OK</v>
      </c>
      <c r="M230" s="22" t="n">
        <f aca="false">IF(L230="CHECK",G230/SUMIFS($F$2:$F$307,$A$2:$A$307,A230,$E$2:$E$307,E230),K230)</f>
        <v>4712.7</v>
      </c>
      <c r="N230" s="10" t="str">
        <f aca="false">IF(COUNTIF(Parameters!$E$6:$E$13,H230)&gt;0,"Yes","No")</f>
        <v>Yes</v>
      </c>
      <c r="O230" s="10" t="str">
        <f aca="false">IF(M230&lt;=Parameters!$B$3,IF(COUNTIF(Parameters!$A$6:$A$7,E230)&gt;0,"Vehicles","Out of scope"),IF(COUNTIF(Parameters!$C$6:$C$14,E230)&gt;0,"H&amp;H","Out of scope"))</f>
        <v>Vehicles</v>
      </c>
      <c r="P230" s="22" t="n">
        <f aca="false">M230*F230</f>
        <v>94254</v>
      </c>
    </row>
    <row r="231" customFormat="false" ht="15" hidden="false" customHeight="false" outlineLevel="0" collapsed="false">
      <c r="A231" s="10" t="s">
        <v>347</v>
      </c>
      <c r="B231" s="21" t="n">
        <v>45939</v>
      </c>
      <c r="C231" s="10" t="s">
        <v>158</v>
      </c>
      <c r="D231" s="10" t="s">
        <v>123</v>
      </c>
      <c r="E231" s="10" t="n">
        <v>8703</v>
      </c>
      <c r="F231" s="22" t="n">
        <v>9</v>
      </c>
      <c r="G231" s="22" t="n">
        <v>17793</v>
      </c>
      <c r="H231" s="10" t="s">
        <v>29</v>
      </c>
      <c r="I231" s="10" t="str">
        <f aca="false">IFERROR(VLOOKUP(E231,Parameters!$G$6:$H$15,2,FALSE()),"")</f>
        <v>Passenger cars</v>
      </c>
      <c r="J231" s="10" t="str">
        <f aca="false">IFERROR(INDEX(Name_Map!$B$2:$B$102,MATCH(D231,Name_Map!$A$2:$A$102,0)),D231)</f>
        <v>Lima Car Import S.A.C.</v>
      </c>
      <c r="K231" s="22" t="n">
        <f aca="false">IF(F231&gt;0,G231/F231,0)</f>
        <v>1977</v>
      </c>
      <c r="L231" s="10" t="str">
        <f aca="false">IF(AND(COUNTIFS($A$2:$A$307,A231,$E$2:$E$307,E231)&gt;1,COUNTIFS($A$2:$A$307,A231,$E$2:$E$307,E231,$G$2:$G$307,G231)=COUNTIFS($A$2:$A$307,A231,$E$2:$E$307,E231)),"CHECK","OK")</f>
        <v>OK</v>
      </c>
      <c r="M231" s="22" t="n">
        <f aca="false">IF(L231="CHECK",G231/SUMIFS($F$2:$F$307,$A$2:$A$307,A231,$E$2:$E$307,E231),K231)</f>
        <v>1977</v>
      </c>
      <c r="N231" s="10" t="str">
        <f aca="false">IF(COUNTIF(Parameters!$E$6:$E$13,H231)&gt;0,"Yes","No")</f>
        <v>Yes</v>
      </c>
      <c r="O231" s="10" t="str">
        <f aca="false">IF(M231&lt;=Parameters!$B$3,IF(COUNTIF(Parameters!$A$6:$A$7,E231)&gt;0,"Vehicles","Out of scope"),IF(COUNTIF(Parameters!$C$6:$C$14,E231)&gt;0,"H&amp;H","Out of scope"))</f>
        <v>Vehicles</v>
      </c>
      <c r="P231" s="22" t="n">
        <f aca="false">M231*F231</f>
        <v>17793</v>
      </c>
    </row>
    <row r="232" customFormat="false" ht="15" hidden="false" customHeight="false" outlineLevel="0" collapsed="false">
      <c r="A232" s="10" t="s">
        <v>348</v>
      </c>
      <c r="B232" s="21" t="n">
        <v>45943</v>
      </c>
      <c r="C232" s="10" t="s">
        <v>160</v>
      </c>
      <c r="D232" s="10" t="s">
        <v>87</v>
      </c>
      <c r="E232" s="10" t="n">
        <v>8433</v>
      </c>
      <c r="F232" s="22" t="n">
        <v>4</v>
      </c>
      <c r="G232" s="22" t="n">
        <v>73918</v>
      </c>
      <c r="H232" s="10" t="s">
        <v>182</v>
      </c>
      <c r="I232" s="10" t="str">
        <f aca="false">IFERROR(VLOOKUP(E232,Parameters!$G$6:$H$15,2,FALSE()),"")</f>
        <v>Harvesting machinery</v>
      </c>
      <c r="J232" s="10" t="str">
        <f aca="false">IFERROR(INDEX(Name_Map!$B$2:$B$102,MATCH(D232,Name_Map!$A$2:$A$102,0)),D232)</f>
        <v>Caribbean Freight Express S.R.L.</v>
      </c>
      <c r="K232" s="22" t="n">
        <f aca="false">IF(F232&gt;0,G232/F232,0)</f>
        <v>18479.5</v>
      </c>
      <c r="L232" s="10" t="str">
        <f aca="false">IF(AND(COUNTIFS($A$2:$A$307,A232,$E$2:$E$307,E232)&gt;1,COUNTIFS($A$2:$A$307,A232,$E$2:$E$307,E232,$G$2:$G$307,G232)=COUNTIFS($A$2:$A$307,A232,$E$2:$E$307,E232)),"CHECK","OK")</f>
        <v>OK</v>
      </c>
      <c r="M232" s="22" t="n">
        <f aca="false">IF(L232="CHECK",G232/SUMIFS($F$2:$F$307,$A$2:$A$307,A232,$E$2:$E$307,E232),K232)</f>
        <v>18479.5</v>
      </c>
      <c r="N232" s="10" t="str">
        <f aca="false">IF(COUNTIF(Parameters!$E$6:$E$13,H232)&gt;0,"Yes","No")</f>
        <v>No</v>
      </c>
      <c r="O232" s="10" t="str">
        <f aca="false">IF(M232&lt;=Parameters!$B$3,IF(COUNTIF(Parameters!$A$6:$A$7,E232)&gt;0,"Vehicles","Out of scope"),IF(COUNTIF(Parameters!$C$6:$C$14,E232)&gt;0,"H&amp;H","Out of scope"))</f>
        <v>H&amp;H</v>
      </c>
      <c r="P232" s="22" t="n">
        <f aca="false">M232*F232</f>
        <v>73918</v>
      </c>
    </row>
    <row r="233" customFormat="false" ht="15" hidden="false" customHeight="false" outlineLevel="0" collapsed="false">
      <c r="A233" s="10" t="s">
        <v>349</v>
      </c>
      <c r="B233" s="21" t="n">
        <v>45945</v>
      </c>
      <c r="C233" s="10" t="s">
        <v>160</v>
      </c>
      <c r="D233" s="10" t="s">
        <v>144</v>
      </c>
      <c r="E233" s="10" t="n">
        <v>8704</v>
      </c>
      <c r="F233" s="22" t="n">
        <v>20</v>
      </c>
      <c r="G233" s="22" t="n">
        <v>157762</v>
      </c>
      <c r="H233" s="10" t="s">
        <v>35</v>
      </c>
      <c r="I233" s="10" t="str">
        <f aca="false">IFERROR(VLOOKUP(E233,Parameters!$G$6:$H$15,2,FALSE()),"")</f>
        <v>Goods vehicles (trucks)</v>
      </c>
      <c r="J233" s="10" t="str">
        <f aca="false">IFERROR(INDEX(Name_Map!$B$2:$B$102,MATCH(D233,Name_Map!$A$2:$A$102,0)),D233)</f>
        <v>Santo Domingo Autos S.R.L.</v>
      </c>
      <c r="K233" s="22" t="n">
        <f aca="false">IF(F233&gt;0,G233/F233,0)</f>
        <v>7888.1</v>
      </c>
      <c r="L233" s="10" t="str">
        <f aca="false">IF(AND(COUNTIFS($A$2:$A$307,A233,$E$2:$E$307,E233)&gt;1,COUNTIFS($A$2:$A$307,A233,$E$2:$E$307,E233,$G$2:$G$307,G233)=COUNTIFS($A$2:$A$307,A233,$E$2:$E$307,E233)),"CHECK","OK")</f>
        <v>OK</v>
      </c>
      <c r="M233" s="22" t="n">
        <f aca="false">IF(L233="CHECK",G233/SUMIFS($F$2:$F$307,$A$2:$A$307,A233,$E$2:$E$307,E233),K233)</f>
        <v>7888.1</v>
      </c>
      <c r="N233" s="10" t="str">
        <f aca="false">IF(COUNTIF(Parameters!$E$6:$E$13,H233)&gt;0,"Yes","No")</f>
        <v>Yes</v>
      </c>
      <c r="O233" s="10" t="str">
        <f aca="false">IF(M233&lt;=Parameters!$B$3,IF(COUNTIF(Parameters!$A$6:$A$7,E233)&gt;0,"Vehicles","Out of scope"),IF(COUNTIF(Parameters!$C$6:$C$14,E233)&gt;0,"H&amp;H","Out of scope"))</f>
        <v>Vehicles</v>
      </c>
      <c r="P233" s="22" t="n">
        <f aca="false">M233*F233</f>
        <v>157762</v>
      </c>
    </row>
    <row r="234" customFormat="false" ht="15" hidden="false" customHeight="false" outlineLevel="0" collapsed="false">
      <c r="A234" s="10" t="s">
        <v>350</v>
      </c>
      <c r="B234" s="21" t="n">
        <v>45945</v>
      </c>
      <c r="C234" s="10" t="s">
        <v>159</v>
      </c>
      <c r="D234" s="10" t="s">
        <v>109</v>
      </c>
      <c r="E234" s="10" t="n">
        <v>8704</v>
      </c>
      <c r="F234" s="22" t="n">
        <v>29</v>
      </c>
      <c r="G234" s="22" t="n">
        <v>270025</v>
      </c>
      <c r="H234" s="10" t="s">
        <v>29</v>
      </c>
      <c r="I234" s="10" t="str">
        <f aca="false">IFERROR(VLOOKUP(E234,Parameters!$G$6:$H$15,2,FALSE()),"")</f>
        <v>Goods vehicles (trucks)</v>
      </c>
      <c r="J234" s="10" t="str">
        <f aca="false">IFERROR(INDEX(Name_Map!$B$2:$B$102,MATCH(D234,Name_Map!$A$2:$A$102,0)),D234)</f>
        <v>Guayas Autos S.A.</v>
      </c>
      <c r="K234" s="22" t="n">
        <f aca="false">IF(F234&gt;0,G234/F234,0)</f>
        <v>9311.20689655173</v>
      </c>
      <c r="L234" s="10" t="str">
        <f aca="false">IF(AND(COUNTIFS($A$2:$A$307,A234,$E$2:$E$307,E234)&gt;1,COUNTIFS($A$2:$A$307,A234,$E$2:$E$307,E234,$G$2:$G$307,G234)=COUNTIFS($A$2:$A$307,A234,$E$2:$E$307,E234)),"CHECK","OK")</f>
        <v>OK</v>
      </c>
      <c r="M234" s="22" t="n">
        <f aca="false">IF(L234="CHECK",G234/SUMIFS($F$2:$F$307,$A$2:$A$307,A234,$E$2:$E$307,E234),K234)</f>
        <v>9311.20689655173</v>
      </c>
      <c r="N234" s="10" t="str">
        <f aca="false">IF(COUNTIF(Parameters!$E$6:$E$13,H234)&gt;0,"Yes","No")</f>
        <v>Yes</v>
      </c>
      <c r="O234" s="10" t="str">
        <f aca="false">IF(M234&lt;=Parameters!$B$3,IF(COUNTIF(Parameters!$A$6:$A$7,E234)&gt;0,"Vehicles","Out of scope"),IF(COUNTIF(Parameters!$C$6:$C$14,E234)&gt;0,"H&amp;H","Out of scope"))</f>
        <v>Vehicles</v>
      </c>
      <c r="P234" s="22" t="n">
        <f aca="false">M234*F234</f>
        <v>270025</v>
      </c>
    </row>
    <row r="235" customFormat="false" ht="15" hidden="false" customHeight="false" outlineLevel="0" collapsed="false">
      <c r="A235" s="10" t="s">
        <v>351</v>
      </c>
      <c r="B235" s="21" t="n">
        <v>45946</v>
      </c>
      <c r="C235" s="10" t="s">
        <v>160</v>
      </c>
      <c r="D235" s="10" t="s">
        <v>77</v>
      </c>
      <c r="E235" s="10" t="n">
        <v>8702</v>
      </c>
      <c r="F235" s="22" t="n">
        <v>4</v>
      </c>
      <c r="G235" s="22" t="n">
        <v>242440</v>
      </c>
      <c r="H235" s="10" t="s">
        <v>27</v>
      </c>
      <c r="I235" s="10" t="str">
        <f aca="false">IFERROR(VLOOKUP(E235,Parameters!$G$6:$H$15,2,FALSE()),"")</f>
        <v>Buses</v>
      </c>
      <c r="J235" s="10" t="str">
        <f aca="false">IFERROR(INDEX(Name_Map!$B$2:$B$102,MATCH(D235,Name_Map!$A$2:$A$102,0)),D235)</f>
        <v>Cibao Equipos S.R.L.</v>
      </c>
      <c r="K235" s="22" t="n">
        <f aca="false">IF(F235&gt;0,G235/F235,0)</f>
        <v>60610</v>
      </c>
      <c r="L235" s="10" t="str">
        <f aca="false">IF(AND(COUNTIFS($A$2:$A$307,A235,$E$2:$E$307,E235)&gt;1,COUNTIFS($A$2:$A$307,A235,$E$2:$E$307,E235,$G$2:$G$307,G235)=COUNTIFS($A$2:$A$307,A235,$E$2:$E$307,E235)),"CHECK","OK")</f>
        <v>OK</v>
      </c>
      <c r="M235" s="22" t="n">
        <f aca="false">IF(L235="CHECK",G235/SUMIFS($F$2:$F$307,$A$2:$A$307,A235,$E$2:$E$307,E235),K235)</f>
        <v>60610</v>
      </c>
      <c r="N235" s="10" t="str">
        <f aca="false">IF(COUNTIF(Parameters!$E$6:$E$13,H235)&gt;0,"Yes","No")</f>
        <v>Yes</v>
      </c>
      <c r="O235" s="10" t="str">
        <f aca="false">IF(M235&lt;=Parameters!$B$3,IF(COUNTIF(Parameters!$A$6:$A$7,E235)&gt;0,"Vehicles","Out of scope"),IF(COUNTIF(Parameters!$C$6:$C$14,E235)&gt;0,"H&amp;H","Out of scope"))</f>
        <v>H&amp;H</v>
      </c>
      <c r="P235" s="22" t="n">
        <f aca="false">M235*F235</f>
        <v>242440</v>
      </c>
    </row>
    <row r="236" customFormat="false" ht="15" hidden="false" customHeight="false" outlineLevel="0" collapsed="false">
      <c r="A236" s="10" t="s">
        <v>352</v>
      </c>
      <c r="B236" s="21" t="n">
        <v>45947</v>
      </c>
      <c r="C236" s="10" t="s">
        <v>159</v>
      </c>
      <c r="D236" s="10" t="s">
        <v>102</v>
      </c>
      <c r="E236" s="10" t="n">
        <v>8704</v>
      </c>
      <c r="F236" s="22" t="n">
        <v>3</v>
      </c>
      <c r="G236" s="22" t="n">
        <v>8880</v>
      </c>
      <c r="H236" s="10" t="s">
        <v>193</v>
      </c>
      <c r="I236" s="10" t="str">
        <f aca="false">IFERROR(VLOOKUP(E236,Parameters!$G$6:$H$15,2,FALSE()),"")</f>
        <v>Goods vehicles (trucks)</v>
      </c>
      <c r="J236" s="10" t="str">
        <f aca="false">IFERROR(INDEX(Name_Map!$B$2:$B$102,MATCH(D236,Name_Map!$A$2:$A$102,0)),D236)</f>
        <v>Ecuamotors Cia. Ltda.</v>
      </c>
      <c r="K236" s="22" t="n">
        <f aca="false">IF(F236&gt;0,G236/F236,0)</f>
        <v>2960</v>
      </c>
      <c r="L236" s="10" t="str">
        <f aca="false">IF(AND(COUNTIFS($A$2:$A$307,A236,$E$2:$E$307,E236)&gt;1,COUNTIFS($A$2:$A$307,A236,$E$2:$E$307,E236,$G$2:$G$307,G236)=COUNTIFS($A$2:$A$307,A236,$E$2:$E$307,E236)),"CHECK","OK")</f>
        <v>OK</v>
      </c>
      <c r="M236" s="22" t="n">
        <f aca="false">IF(L236="CHECK",G236/SUMIFS($F$2:$F$307,$A$2:$A$307,A236,$E$2:$E$307,E236),K236)</f>
        <v>2960</v>
      </c>
      <c r="N236" s="10" t="str">
        <f aca="false">IF(COUNTIF(Parameters!$E$6:$E$13,H236)&gt;0,"Yes","No")</f>
        <v>No</v>
      </c>
      <c r="O236" s="10" t="str">
        <f aca="false">IF(M236&lt;=Parameters!$B$3,IF(COUNTIF(Parameters!$A$6:$A$7,E236)&gt;0,"Vehicles","Out of scope"),IF(COUNTIF(Parameters!$C$6:$C$14,E236)&gt;0,"H&amp;H","Out of scope"))</f>
        <v>Vehicles</v>
      </c>
      <c r="P236" s="22" t="n">
        <f aca="false">M236*F236</f>
        <v>8880</v>
      </c>
    </row>
    <row r="237" customFormat="false" ht="15" hidden="false" customHeight="false" outlineLevel="0" collapsed="false">
      <c r="A237" s="10" t="s">
        <v>352</v>
      </c>
      <c r="B237" s="21" t="n">
        <v>45947</v>
      </c>
      <c r="C237" s="10" t="s">
        <v>159</v>
      </c>
      <c r="D237" s="10" t="s">
        <v>99</v>
      </c>
      <c r="E237" s="10" t="n">
        <v>8703</v>
      </c>
      <c r="F237" s="22" t="n">
        <v>28</v>
      </c>
      <c r="G237" s="22" t="n">
        <v>58259</v>
      </c>
      <c r="H237" s="10" t="s">
        <v>193</v>
      </c>
      <c r="I237" s="10" t="str">
        <f aca="false">IFERROR(VLOOKUP(E237,Parameters!$G$6:$H$15,2,FALSE()),"")</f>
        <v>Passenger cars</v>
      </c>
      <c r="J237" s="10" t="str">
        <f aca="false">IFERROR(INDEX(Name_Map!$B$2:$B$102,MATCH(D237,Name_Map!$A$2:$A$102,0)),D237)</f>
        <v>Ecuamotors Cia. Ltda.</v>
      </c>
      <c r="K237" s="22" t="n">
        <f aca="false">IF(F237&gt;0,G237/F237,0)</f>
        <v>2080.67857142857</v>
      </c>
      <c r="L237" s="10" t="str">
        <f aca="false">IF(AND(COUNTIFS($A$2:$A$307,A237,$E$2:$E$307,E237)&gt;1,COUNTIFS($A$2:$A$307,A237,$E$2:$E$307,E237,$G$2:$G$307,G237)=COUNTIFS($A$2:$A$307,A237,$E$2:$E$307,E237)),"CHECK","OK")</f>
        <v>OK</v>
      </c>
      <c r="M237" s="22" t="n">
        <f aca="false">IF(L237="CHECK",G237/SUMIFS($F$2:$F$307,$A$2:$A$307,A237,$E$2:$E$307,E237),K237)</f>
        <v>2080.67857142857</v>
      </c>
      <c r="N237" s="10" t="str">
        <f aca="false">IF(COUNTIF(Parameters!$E$6:$E$13,H237)&gt;0,"Yes","No")</f>
        <v>No</v>
      </c>
      <c r="O237" s="10" t="str">
        <f aca="false">IF(M237&lt;=Parameters!$B$3,IF(COUNTIF(Parameters!$A$6:$A$7,E237)&gt;0,"Vehicles","Out of scope"),IF(COUNTIF(Parameters!$C$6:$C$14,E237)&gt;0,"H&amp;H","Out of scope"))</f>
        <v>Vehicles</v>
      </c>
      <c r="P237" s="22" t="n">
        <f aca="false">M237*F237</f>
        <v>58259</v>
      </c>
    </row>
    <row r="238" customFormat="false" ht="15" hidden="false" customHeight="false" outlineLevel="0" collapsed="false">
      <c r="A238" s="10" t="s">
        <v>353</v>
      </c>
      <c r="B238" s="21" t="n">
        <v>45949</v>
      </c>
      <c r="C238" s="10" t="s">
        <v>161</v>
      </c>
      <c r="D238" s="10" t="s">
        <v>97</v>
      </c>
      <c r="E238" s="10" t="n">
        <v>8429</v>
      </c>
      <c r="F238" s="22" t="n">
        <v>4</v>
      </c>
      <c r="G238" s="22" t="n">
        <v>154389</v>
      </c>
      <c r="H238" s="10" t="s">
        <v>214</v>
      </c>
      <c r="I238" s="10" t="str">
        <f aca="false">IFERROR(VLOOKUP(E238,Parameters!$G$6:$H$15,2,FALSE()),"")</f>
        <v>Bulldozers / excavators / loaders</v>
      </c>
      <c r="J238" s="10" t="str">
        <f aca="false">IFERROR(INDEX(Name_Map!$B$2:$B$102,MATCH(D238,Name_Map!$A$2:$A$102,0)),D238)</f>
        <v>Darien Construcciones S.A.</v>
      </c>
      <c r="K238" s="22" t="n">
        <f aca="false">IF(F238&gt;0,G238/F238,0)</f>
        <v>38597.25</v>
      </c>
      <c r="L238" s="10" t="str">
        <f aca="false">IF(AND(COUNTIFS($A$2:$A$307,A238,$E$2:$E$307,E238)&gt;1,COUNTIFS($A$2:$A$307,A238,$E$2:$E$307,E238,$G$2:$G$307,G238)=COUNTIFS($A$2:$A$307,A238,$E$2:$E$307,E238)),"CHECK","OK")</f>
        <v>OK</v>
      </c>
      <c r="M238" s="22" t="n">
        <f aca="false">IF(L238="CHECK",G238/SUMIFS($F$2:$F$307,$A$2:$A$307,A238,$E$2:$E$307,E238),K238)</f>
        <v>38597.25</v>
      </c>
      <c r="N238" s="10" t="str">
        <f aca="false">IF(COUNTIF(Parameters!$E$6:$E$13,H238)&gt;0,"Yes","No")</f>
        <v>No</v>
      </c>
      <c r="O238" s="10" t="str">
        <f aca="false">IF(M238&lt;=Parameters!$B$3,IF(COUNTIF(Parameters!$A$6:$A$7,E238)&gt;0,"Vehicles","Out of scope"),IF(COUNTIF(Parameters!$C$6:$C$14,E238)&gt;0,"H&amp;H","Out of scope"))</f>
        <v>H&amp;H</v>
      </c>
      <c r="P238" s="22" t="n">
        <f aca="false">M238*F238</f>
        <v>154389</v>
      </c>
    </row>
    <row r="239" customFormat="false" ht="15" hidden="false" customHeight="false" outlineLevel="0" collapsed="false">
      <c r="A239" s="10" t="s">
        <v>354</v>
      </c>
      <c r="B239" s="21" t="n">
        <v>45950</v>
      </c>
      <c r="C239" s="10" t="s">
        <v>158</v>
      </c>
      <c r="D239" s="10" t="s">
        <v>60</v>
      </c>
      <c r="E239" s="10" t="n">
        <v>8701</v>
      </c>
      <c r="F239" s="22" t="n">
        <v>4</v>
      </c>
      <c r="G239" s="22" t="n">
        <v>210358</v>
      </c>
      <c r="H239" s="10" t="s">
        <v>35</v>
      </c>
      <c r="I239" s="10" t="str">
        <f aca="false">IFERROR(VLOOKUP(E239,Parameters!$G$6:$H$15,2,FALSE()),"")</f>
        <v>Tractors</v>
      </c>
      <c r="J239" s="10" t="str">
        <f aca="false">IFERROR(INDEX(Name_Map!$B$2:$B$102,MATCH(D239,Name_Map!$A$2:$A$102,0)),D239)</f>
        <v>Altiplano Trucks S.A.C.</v>
      </c>
      <c r="K239" s="22" t="n">
        <f aca="false">IF(F239&gt;0,G239/F239,0)</f>
        <v>52589.5</v>
      </c>
      <c r="L239" s="10" t="str">
        <f aca="false">IF(AND(COUNTIFS($A$2:$A$307,A239,$E$2:$E$307,E239)&gt;1,COUNTIFS($A$2:$A$307,A239,$E$2:$E$307,E239,$G$2:$G$307,G239)=COUNTIFS($A$2:$A$307,A239,$E$2:$E$307,E239)),"CHECK","OK")</f>
        <v>OK</v>
      </c>
      <c r="M239" s="22" t="n">
        <f aca="false">IF(L239="CHECK",G239/SUMIFS($F$2:$F$307,$A$2:$A$307,A239,$E$2:$E$307,E239),K239)</f>
        <v>52589.5</v>
      </c>
      <c r="N239" s="10" t="str">
        <f aca="false">IF(COUNTIF(Parameters!$E$6:$E$13,H239)&gt;0,"Yes","No")</f>
        <v>Yes</v>
      </c>
      <c r="O239" s="10" t="str">
        <f aca="false">IF(M239&lt;=Parameters!$B$3,IF(COUNTIF(Parameters!$A$6:$A$7,E239)&gt;0,"Vehicles","Out of scope"),IF(COUNTIF(Parameters!$C$6:$C$14,E239)&gt;0,"H&amp;H","Out of scope"))</f>
        <v>H&amp;H</v>
      </c>
      <c r="P239" s="22" t="n">
        <f aca="false">M239*F239</f>
        <v>210358</v>
      </c>
    </row>
    <row r="240" customFormat="false" ht="15" hidden="false" customHeight="false" outlineLevel="0" collapsed="false">
      <c r="A240" s="10" t="s">
        <v>355</v>
      </c>
      <c r="B240" s="21" t="n">
        <v>45951</v>
      </c>
      <c r="C240" s="10" t="s">
        <v>159</v>
      </c>
      <c r="D240" s="10" t="s">
        <v>99</v>
      </c>
      <c r="E240" s="10" t="n">
        <v>8704</v>
      </c>
      <c r="F240" s="22" t="n">
        <v>19</v>
      </c>
      <c r="G240" s="22" t="n">
        <v>46392</v>
      </c>
      <c r="H240" s="10" t="s">
        <v>39</v>
      </c>
      <c r="I240" s="10" t="str">
        <f aca="false">IFERROR(VLOOKUP(E240,Parameters!$G$6:$H$15,2,FALSE()),"")</f>
        <v>Goods vehicles (trucks)</v>
      </c>
      <c r="J240" s="10" t="str">
        <f aca="false">IFERROR(INDEX(Name_Map!$B$2:$B$102,MATCH(D240,Name_Map!$A$2:$A$102,0)),D240)</f>
        <v>Ecuamotors Cia. Ltda.</v>
      </c>
      <c r="K240" s="22" t="n">
        <f aca="false">IF(F240&gt;0,G240/F240,0)</f>
        <v>2441.68421052632</v>
      </c>
      <c r="L240" s="10" t="str">
        <f aca="false">IF(AND(COUNTIFS($A$2:$A$307,A240,$E$2:$E$307,E240)&gt;1,COUNTIFS($A$2:$A$307,A240,$E$2:$E$307,E240,$G$2:$G$307,G240)=COUNTIFS($A$2:$A$307,A240,$E$2:$E$307,E240)),"CHECK","OK")</f>
        <v>OK</v>
      </c>
      <c r="M240" s="22" t="n">
        <f aca="false">IF(L240="CHECK",G240/SUMIFS($F$2:$F$307,$A$2:$A$307,A240,$E$2:$E$307,E240),K240)</f>
        <v>2441.68421052632</v>
      </c>
      <c r="N240" s="10" t="str">
        <f aca="false">IF(COUNTIF(Parameters!$E$6:$E$13,H240)&gt;0,"Yes","No")</f>
        <v>Yes</v>
      </c>
      <c r="O240" s="10" t="str">
        <f aca="false">IF(M240&lt;=Parameters!$B$3,IF(COUNTIF(Parameters!$A$6:$A$7,E240)&gt;0,"Vehicles","Out of scope"),IF(COUNTIF(Parameters!$C$6:$C$14,E240)&gt;0,"H&amp;H","Out of scope"))</f>
        <v>Vehicles</v>
      </c>
      <c r="P240" s="22" t="n">
        <f aca="false">M240*F240</f>
        <v>46392</v>
      </c>
    </row>
    <row r="241" customFormat="false" ht="15" hidden="false" customHeight="false" outlineLevel="0" collapsed="false">
      <c r="A241" s="10" t="s">
        <v>355</v>
      </c>
      <c r="B241" s="21" t="n">
        <v>45951</v>
      </c>
      <c r="C241" s="10" t="s">
        <v>159</v>
      </c>
      <c r="D241" s="10" t="s">
        <v>99</v>
      </c>
      <c r="E241" s="10" t="n">
        <v>8703</v>
      </c>
      <c r="F241" s="22" t="n">
        <v>23</v>
      </c>
      <c r="G241" s="22" t="n">
        <v>42982</v>
      </c>
      <c r="H241" s="10" t="s">
        <v>39</v>
      </c>
      <c r="I241" s="10" t="str">
        <f aca="false">IFERROR(VLOOKUP(E241,Parameters!$G$6:$H$15,2,FALSE()),"")</f>
        <v>Passenger cars</v>
      </c>
      <c r="J241" s="10" t="str">
        <f aca="false">IFERROR(INDEX(Name_Map!$B$2:$B$102,MATCH(D241,Name_Map!$A$2:$A$102,0)),D241)</f>
        <v>Ecuamotors Cia. Ltda.</v>
      </c>
      <c r="K241" s="22" t="n">
        <f aca="false">IF(F241&gt;0,G241/F241,0)</f>
        <v>1868.78260869565</v>
      </c>
      <c r="L241" s="10" t="str">
        <f aca="false">IF(AND(COUNTIFS($A$2:$A$307,A241,$E$2:$E$307,E241)&gt;1,COUNTIFS($A$2:$A$307,A241,$E$2:$E$307,E241,$G$2:$G$307,G241)=COUNTIFS($A$2:$A$307,A241,$E$2:$E$307,E241)),"CHECK","OK")</f>
        <v>OK</v>
      </c>
      <c r="M241" s="22" t="n">
        <f aca="false">IF(L241="CHECK",G241/SUMIFS($F$2:$F$307,$A$2:$A$307,A241,$E$2:$E$307,E241),K241)</f>
        <v>1868.78260869565</v>
      </c>
      <c r="N241" s="10" t="str">
        <f aca="false">IF(COUNTIF(Parameters!$E$6:$E$13,H241)&gt;0,"Yes","No")</f>
        <v>Yes</v>
      </c>
      <c r="O241" s="10" t="str">
        <f aca="false">IF(M241&lt;=Parameters!$B$3,IF(COUNTIF(Parameters!$A$6:$A$7,E241)&gt;0,"Vehicles","Out of scope"),IF(COUNTIF(Parameters!$C$6:$C$14,E241)&gt;0,"H&amp;H","Out of scope"))</f>
        <v>Vehicles</v>
      </c>
      <c r="P241" s="22" t="n">
        <f aca="false">M241*F241</f>
        <v>42982</v>
      </c>
    </row>
    <row r="242" customFormat="false" ht="15" hidden="false" customHeight="false" outlineLevel="0" collapsed="false">
      <c r="A242" s="10" t="s">
        <v>356</v>
      </c>
      <c r="B242" s="21" t="n">
        <v>45952</v>
      </c>
      <c r="C242" s="10" t="s">
        <v>160</v>
      </c>
      <c r="D242" s="10" t="s">
        <v>138</v>
      </c>
      <c r="E242" s="10" t="n">
        <v>8703</v>
      </c>
      <c r="F242" s="22" t="n">
        <v>35</v>
      </c>
      <c r="G242" s="22" t="n">
        <v>64995</v>
      </c>
      <c r="H242" s="10" t="s">
        <v>37</v>
      </c>
      <c r="I242" s="10" t="str">
        <f aca="false">IFERROR(VLOOKUP(E242,Parameters!$G$6:$H$15,2,FALSE()),"")</f>
        <v>Passenger cars</v>
      </c>
      <c r="J242" s="10" t="str">
        <f aca="false">IFERROR(INDEX(Name_Map!$B$2:$B$102,MATCH(D242,Name_Map!$A$2:$A$102,0)),D242)</f>
        <v>Quisqueya Motors S.R.L.</v>
      </c>
      <c r="K242" s="22" t="n">
        <f aca="false">IF(F242&gt;0,G242/F242,0)</f>
        <v>1857</v>
      </c>
      <c r="L242" s="10" t="str">
        <f aca="false">IF(AND(COUNTIFS($A$2:$A$307,A242,$E$2:$E$307,E242)&gt;1,COUNTIFS($A$2:$A$307,A242,$E$2:$E$307,E242,$G$2:$G$307,G242)=COUNTIFS($A$2:$A$307,A242,$E$2:$E$307,E242)),"CHECK","OK")</f>
        <v>OK</v>
      </c>
      <c r="M242" s="22" t="n">
        <f aca="false">IF(L242="CHECK",G242/SUMIFS($F$2:$F$307,$A$2:$A$307,A242,$E$2:$E$307,E242),K242)</f>
        <v>1857</v>
      </c>
      <c r="N242" s="10" t="str">
        <f aca="false">IF(COUNTIF(Parameters!$E$6:$E$13,H242)&gt;0,"Yes","No")</f>
        <v>Yes</v>
      </c>
      <c r="O242" s="10" t="str">
        <f aca="false">IF(M242&lt;=Parameters!$B$3,IF(COUNTIF(Parameters!$A$6:$A$7,E242)&gt;0,"Vehicles","Out of scope"),IF(COUNTIF(Parameters!$C$6:$C$14,E242)&gt;0,"H&amp;H","Out of scope"))</f>
        <v>Vehicles</v>
      </c>
      <c r="P242" s="22" t="n">
        <f aca="false">M242*F242</f>
        <v>64995</v>
      </c>
    </row>
    <row r="243" customFormat="false" ht="15" hidden="false" customHeight="false" outlineLevel="0" collapsed="false">
      <c r="A243" s="10" t="s">
        <v>357</v>
      </c>
      <c r="B243" s="21" t="n">
        <v>45955</v>
      </c>
      <c r="C243" s="10" t="s">
        <v>160</v>
      </c>
      <c r="D243" s="10" t="s">
        <v>139</v>
      </c>
      <c r="E243" s="10" t="n">
        <v>8703</v>
      </c>
      <c r="F243" s="22" t="n">
        <v>4</v>
      </c>
      <c r="G243" s="22" t="n">
        <v>9885</v>
      </c>
      <c r="H243" s="10" t="s">
        <v>37</v>
      </c>
      <c r="I243" s="10" t="str">
        <f aca="false">IFERROR(VLOOKUP(E243,Parameters!$G$6:$H$15,2,FALSE()),"")</f>
        <v>Passenger cars</v>
      </c>
      <c r="J243" s="10" t="str">
        <f aca="false">IFERROR(INDEX(Name_Map!$B$2:$B$102,MATCH(D243,Name_Map!$A$2:$A$102,0)),D243)</f>
        <v>Quisqueya Motors S.R.L.</v>
      </c>
      <c r="K243" s="22" t="n">
        <f aca="false">IF(F243&gt;0,G243/F243,0)</f>
        <v>2471.25</v>
      </c>
      <c r="L243" s="10" t="str">
        <f aca="false">IF(AND(COUNTIFS($A$2:$A$307,A243,$E$2:$E$307,E243)&gt;1,COUNTIFS($A$2:$A$307,A243,$E$2:$E$307,E243,$G$2:$G$307,G243)=COUNTIFS($A$2:$A$307,A243,$E$2:$E$307,E243)),"CHECK","OK")</f>
        <v>OK</v>
      </c>
      <c r="M243" s="22" t="n">
        <f aca="false">IF(L243="CHECK",G243/SUMIFS($F$2:$F$307,$A$2:$A$307,A243,$E$2:$E$307,E243),K243)</f>
        <v>2471.25</v>
      </c>
      <c r="N243" s="10" t="str">
        <f aca="false">IF(COUNTIF(Parameters!$E$6:$E$13,H243)&gt;0,"Yes","No")</f>
        <v>Yes</v>
      </c>
      <c r="O243" s="10" t="str">
        <f aca="false">IF(M243&lt;=Parameters!$B$3,IF(COUNTIF(Parameters!$A$6:$A$7,E243)&gt;0,"Vehicles","Out of scope"),IF(COUNTIF(Parameters!$C$6:$C$14,E243)&gt;0,"H&amp;H","Out of scope"))</f>
        <v>Vehicles</v>
      </c>
      <c r="P243" s="22" t="n">
        <f aca="false">M243*F243</f>
        <v>9885</v>
      </c>
    </row>
    <row r="244" customFormat="false" ht="15" hidden="false" customHeight="false" outlineLevel="0" collapsed="false">
      <c r="A244" s="10" t="s">
        <v>358</v>
      </c>
      <c r="B244" s="21" t="n">
        <v>45957</v>
      </c>
      <c r="C244" s="10" t="s">
        <v>157</v>
      </c>
      <c r="D244" s="10" t="s">
        <v>70</v>
      </c>
      <c r="E244" s="10" t="n">
        <v>8703</v>
      </c>
      <c r="F244" s="22" t="n">
        <v>2</v>
      </c>
      <c r="G244" s="22" t="n">
        <v>3789</v>
      </c>
      <c r="H244" s="10" t="s">
        <v>193</v>
      </c>
      <c r="I244" s="10" t="str">
        <f aca="false">IFERROR(VLOOKUP(E244,Parameters!$G$6:$H$15,2,FALSE()),"")</f>
        <v>Passenger cars</v>
      </c>
      <c r="J244" s="10" t="str">
        <f aca="false">IFERROR(INDEX(Name_Map!$B$2:$B$102,MATCH(D244,Name_Map!$A$2:$A$102,0)),D244)</f>
        <v>Bogota Car Import S.A.S.</v>
      </c>
      <c r="K244" s="22" t="n">
        <f aca="false">IF(F244&gt;0,G244/F244,0)</f>
        <v>1894.5</v>
      </c>
      <c r="L244" s="10" t="str">
        <f aca="false">IF(AND(COUNTIFS($A$2:$A$307,A244,$E$2:$E$307,E244)&gt;1,COUNTIFS($A$2:$A$307,A244,$E$2:$E$307,E244,$G$2:$G$307,G244)=COUNTIFS($A$2:$A$307,A244,$E$2:$E$307,E244)),"CHECK","OK")</f>
        <v>OK</v>
      </c>
      <c r="M244" s="22" t="n">
        <f aca="false">IF(L244="CHECK",G244/SUMIFS($F$2:$F$307,$A$2:$A$307,A244,$E$2:$E$307,E244),K244)</f>
        <v>1894.5</v>
      </c>
      <c r="N244" s="10" t="str">
        <f aca="false">IF(COUNTIF(Parameters!$E$6:$E$13,H244)&gt;0,"Yes","No")</f>
        <v>No</v>
      </c>
      <c r="O244" s="10" t="str">
        <f aca="false">IF(M244&lt;=Parameters!$B$3,IF(COUNTIF(Parameters!$A$6:$A$7,E244)&gt;0,"Vehicles","Out of scope"),IF(COUNTIF(Parameters!$C$6:$C$14,E244)&gt;0,"H&amp;H","Out of scope"))</f>
        <v>Vehicles</v>
      </c>
      <c r="P244" s="22" t="n">
        <f aca="false">M244*F244</f>
        <v>3789</v>
      </c>
    </row>
    <row r="245" customFormat="false" ht="15" hidden="false" customHeight="false" outlineLevel="0" collapsed="false">
      <c r="A245" s="10" t="s">
        <v>359</v>
      </c>
      <c r="B245" s="21" t="n">
        <v>45961</v>
      </c>
      <c r="C245" s="10" t="s">
        <v>157</v>
      </c>
      <c r="D245" s="10" t="s">
        <v>58</v>
      </c>
      <c r="E245" s="10" t="n">
        <v>8703</v>
      </c>
      <c r="F245" s="22" t="n">
        <v>10</v>
      </c>
      <c r="G245" s="22" t="n">
        <v>20983</v>
      </c>
      <c r="H245" s="10" t="s">
        <v>27</v>
      </c>
      <c r="I245" s="10" t="str">
        <f aca="false">IFERROR(VLOOKUP(E245,Parameters!$G$6:$H$15,2,FALSE()),"")</f>
        <v>Passenger cars</v>
      </c>
      <c r="J245" s="10" t="str">
        <f aca="false">IFERROR(INDEX(Name_Map!$B$2:$B$102,MATCH(D245,Name_Map!$A$2:$A$102,0)),D245)</f>
        <v>Autonorte Distribuciones S.A.S.</v>
      </c>
      <c r="K245" s="22" t="n">
        <f aca="false">IF(F245&gt;0,G245/F245,0)</f>
        <v>2098.3</v>
      </c>
      <c r="L245" s="10" t="str">
        <f aca="false">IF(AND(COUNTIFS($A$2:$A$307,A245,$E$2:$E$307,E245)&gt;1,COUNTIFS($A$2:$A$307,A245,$E$2:$E$307,E245,$G$2:$G$307,G245)=COUNTIFS($A$2:$A$307,A245,$E$2:$E$307,E245)),"CHECK","OK")</f>
        <v>OK</v>
      </c>
      <c r="M245" s="22" t="n">
        <f aca="false">IF(L245="CHECK",G245/SUMIFS($F$2:$F$307,$A$2:$A$307,A245,$E$2:$E$307,E245),K245)</f>
        <v>2098.3</v>
      </c>
      <c r="N245" s="10" t="str">
        <f aca="false">IF(COUNTIF(Parameters!$E$6:$E$13,H245)&gt;0,"Yes","No")</f>
        <v>Yes</v>
      </c>
      <c r="O245" s="10" t="str">
        <f aca="false">IF(M245&lt;=Parameters!$B$3,IF(COUNTIF(Parameters!$A$6:$A$7,E245)&gt;0,"Vehicles","Out of scope"),IF(COUNTIF(Parameters!$C$6:$C$14,E245)&gt;0,"H&amp;H","Out of scope"))</f>
        <v>Vehicles</v>
      </c>
      <c r="P245" s="22" t="n">
        <f aca="false">M245*F245</f>
        <v>20983</v>
      </c>
    </row>
    <row r="246" customFormat="false" ht="15" hidden="false" customHeight="false" outlineLevel="0" collapsed="false">
      <c r="A246" s="10" t="s">
        <v>359</v>
      </c>
      <c r="B246" s="21" t="n">
        <v>45961</v>
      </c>
      <c r="C246" s="10" t="s">
        <v>157</v>
      </c>
      <c r="D246" s="10" t="s">
        <v>58</v>
      </c>
      <c r="E246" s="10" t="n">
        <v>8703</v>
      </c>
      <c r="F246" s="22" t="n">
        <v>22</v>
      </c>
      <c r="G246" s="22" t="n">
        <v>34869</v>
      </c>
      <c r="H246" s="10" t="s">
        <v>27</v>
      </c>
      <c r="I246" s="10" t="str">
        <f aca="false">IFERROR(VLOOKUP(E246,Parameters!$G$6:$H$15,2,FALSE()),"")</f>
        <v>Passenger cars</v>
      </c>
      <c r="J246" s="10" t="str">
        <f aca="false">IFERROR(INDEX(Name_Map!$B$2:$B$102,MATCH(D246,Name_Map!$A$2:$A$102,0)),D246)</f>
        <v>Autonorte Distribuciones S.A.S.</v>
      </c>
      <c r="K246" s="22" t="n">
        <f aca="false">IF(F246&gt;0,G246/F246,0)</f>
        <v>1584.95454545455</v>
      </c>
      <c r="L246" s="10" t="str">
        <f aca="false">IF(AND(COUNTIFS($A$2:$A$307,A246,$E$2:$E$307,E246)&gt;1,COUNTIFS($A$2:$A$307,A246,$E$2:$E$307,E246,$G$2:$G$307,G246)=COUNTIFS($A$2:$A$307,A246,$E$2:$E$307,E246)),"CHECK","OK")</f>
        <v>OK</v>
      </c>
      <c r="M246" s="22" t="n">
        <f aca="false">IF(L246="CHECK",G246/SUMIFS($F$2:$F$307,$A$2:$A$307,A246,$E$2:$E$307,E246),K246)</f>
        <v>1584.95454545455</v>
      </c>
      <c r="N246" s="10" t="str">
        <f aca="false">IF(COUNTIF(Parameters!$E$6:$E$13,H246)&gt;0,"Yes","No")</f>
        <v>Yes</v>
      </c>
      <c r="O246" s="10" t="str">
        <f aca="false">IF(M246&lt;=Parameters!$B$3,IF(COUNTIF(Parameters!$A$6:$A$7,E246)&gt;0,"Vehicles","Out of scope"),IF(COUNTIF(Parameters!$C$6:$C$14,E246)&gt;0,"H&amp;H","Out of scope"))</f>
        <v>Vehicles</v>
      </c>
      <c r="P246" s="22" t="n">
        <f aca="false">M246*F246</f>
        <v>34869</v>
      </c>
    </row>
    <row r="247" customFormat="false" ht="15" hidden="false" customHeight="false" outlineLevel="0" collapsed="false">
      <c r="A247" s="10" t="s">
        <v>360</v>
      </c>
      <c r="B247" s="21" t="n">
        <v>45962</v>
      </c>
      <c r="C247" s="10" t="s">
        <v>157</v>
      </c>
      <c r="D247" s="10" t="s">
        <v>72</v>
      </c>
      <c r="E247" s="10" t="n">
        <v>8704</v>
      </c>
      <c r="F247" s="22" t="n">
        <v>29</v>
      </c>
      <c r="G247" s="22" t="n">
        <v>261173</v>
      </c>
      <c r="H247" s="10" t="s">
        <v>41</v>
      </c>
      <c r="I247" s="10" t="str">
        <f aca="false">IFERROR(VLOOKUP(E247,Parameters!$G$6:$H$15,2,FALSE()),"")</f>
        <v>Goods vehicles (trucks)</v>
      </c>
      <c r="J247" s="10" t="str">
        <f aca="false">IFERROR(INDEX(Name_Map!$B$2:$B$102,MATCH(D247,Name_Map!$A$2:$A$102,0)),D247)</f>
        <v>Bogota Car Import S.A.S.</v>
      </c>
      <c r="K247" s="22" t="n">
        <f aca="false">IF(F247&gt;0,G247/F247,0)</f>
        <v>9005.96551724138</v>
      </c>
      <c r="L247" s="10" t="str">
        <f aca="false">IF(AND(COUNTIFS($A$2:$A$307,A247,$E$2:$E$307,E247)&gt;1,COUNTIFS($A$2:$A$307,A247,$E$2:$E$307,E247,$G$2:$G$307,G247)=COUNTIFS($A$2:$A$307,A247,$E$2:$E$307,E247)),"CHECK","OK")</f>
        <v>OK</v>
      </c>
      <c r="M247" s="22" t="n">
        <f aca="false">IF(L247="CHECK",G247/SUMIFS($F$2:$F$307,$A$2:$A$307,A247,$E$2:$E$307,E247),K247)</f>
        <v>9005.96551724138</v>
      </c>
      <c r="N247" s="10" t="str">
        <f aca="false">IF(COUNTIF(Parameters!$E$6:$E$13,H247)&gt;0,"Yes","No")</f>
        <v>Yes</v>
      </c>
      <c r="O247" s="10" t="str">
        <f aca="false">IF(M247&lt;=Parameters!$B$3,IF(COUNTIF(Parameters!$A$6:$A$7,E247)&gt;0,"Vehicles","Out of scope"),IF(COUNTIF(Parameters!$C$6:$C$14,E247)&gt;0,"H&amp;H","Out of scope"))</f>
        <v>Vehicles</v>
      </c>
      <c r="P247" s="22" t="n">
        <f aca="false">M247*F247</f>
        <v>261173</v>
      </c>
    </row>
    <row r="248" customFormat="false" ht="15" hidden="false" customHeight="false" outlineLevel="0" collapsed="false">
      <c r="A248" s="10" t="s">
        <v>360</v>
      </c>
      <c r="B248" s="21" t="n">
        <v>45962</v>
      </c>
      <c r="C248" s="10" t="s">
        <v>157</v>
      </c>
      <c r="D248" s="10" t="s">
        <v>70</v>
      </c>
      <c r="E248" s="10" t="n">
        <v>8703</v>
      </c>
      <c r="F248" s="22" t="n">
        <v>32</v>
      </c>
      <c r="G248" s="22" t="n">
        <v>66303</v>
      </c>
      <c r="H248" s="10" t="s">
        <v>41</v>
      </c>
      <c r="I248" s="10" t="str">
        <f aca="false">IFERROR(VLOOKUP(E248,Parameters!$G$6:$H$15,2,FALSE()),"")</f>
        <v>Passenger cars</v>
      </c>
      <c r="J248" s="10" t="str">
        <f aca="false">IFERROR(INDEX(Name_Map!$B$2:$B$102,MATCH(D248,Name_Map!$A$2:$A$102,0)),D248)</f>
        <v>Bogota Car Import S.A.S.</v>
      </c>
      <c r="K248" s="22" t="n">
        <f aca="false">IF(F248&gt;0,G248/F248,0)</f>
        <v>2071.96875</v>
      </c>
      <c r="L248" s="10" t="str">
        <f aca="false">IF(AND(COUNTIFS($A$2:$A$307,A248,$E$2:$E$307,E248)&gt;1,COUNTIFS($A$2:$A$307,A248,$E$2:$E$307,E248,$G$2:$G$307,G248)=COUNTIFS($A$2:$A$307,A248,$E$2:$E$307,E248)),"CHECK","OK")</f>
        <v>OK</v>
      </c>
      <c r="M248" s="22" t="n">
        <f aca="false">IF(L248="CHECK",G248/SUMIFS($F$2:$F$307,$A$2:$A$307,A248,$E$2:$E$307,E248),K248)</f>
        <v>2071.96875</v>
      </c>
      <c r="N248" s="10" t="str">
        <f aca="false">IF(COUNTIF(Parameters!$E$6:$E$13,H248)&gt;0,"Yes","No")</f>
        <v>Yes</v>
      </c>
      <c r="O248" s="10" t="str">
        <f aca="false">IF(M248&lt;=Parameters!$B$3,IF(COUNTIF(Parameters!$A$6:$A$7,E248)&gt;0,"Vehicles","Out of scope"),IF(COUNTIF(Parameters!$C$6:$C$14,E248)&gt;0,"H&amp;H","Out of scope"))</f>
        <v>Vehicles</v>
      </c>
      <c r="P248" s="22" t="n">
        <f aca="false">M248*F248</f>
        <v>66303</v>
      </c>
    </row>
    <row r="249" customFormat="false" ht="15" hidden="false" customHeight="false" outlineLevel="0" collapsed="false">
      <c r="A249" s="10" t="s">
        <v>361</v>
      </c>
      <c r="B249" s="21" t="n">
        <v>45964</v>
      </c>
      <c r="C249" s="10" t="s">
        <v>161</v>
      </c>
      <c r="D249" s="10" t="s">
        <v>113</v>
      </c>
      <c r="E249" s="10" t="n">
        <v>8704</v>
      </c>
      <c r="F249" s="22" t="n">
        <v>4</v>
      </c>
      <c r="G249" s="22" t="n">
        <v>22049</v>
      </c>
      <c r="H249" s="10" t="s">
        <v>182</v>
      </c>
      <c r="I249" s="10" t="str">
        <f aca="false">IFERROR(VLOOKUP(E249,Parameters!$G$6:$H$15,2,FALSE()),"")</f>
        <v>Goods vehicles (trucks)</v>
      </c>
      <c r="J249" s="10" t="str">
        <f aca="false">IFERROR(INDEX(Name_Map!$B$2:$B$102,MATCH(D249,Name_Map!$A$2:$A$102,0)),D249)</f>
        <v>Istmo Motors S.A.</v>
      </c>
      <c r="K249" s="22" t="n">
        <f aca="false">IF(F249&gt;0,G249/F249,0)</f>
        <v>5512.25</v>
      </c>
      <c r="L249" s="10" t="str">
        <f aca="false">IF(AND(COUNTIFS($A$2:$A$307,A249,$E$2:$E$307,E249)&gt;1,COUNTIFS($A$2:$A$307,A249,$E$2:$E$307,E249,$G$2:$G$307,G249)=COUNTIFS($A$2:$A$307,A249,$E$2:$E$307,E249)),"CHECK","OK")</f>
        <v>OK</v>
      </c>
      <c r="M249" s="22" t="n">
        <f aca="false">IF(L249="CHECK",G249/SUMIFS($F$2:$F$307,$A$2:$A$307,A249,$E$2:$E$307,E249),K249)</f>
        <v>5512.25</v>
      </c>
      <c r="N249" s="10" t="str">
        <f aca="false">IF(COUNTIF(Parameters!$E$6:$E$13,H249)&gt;0,"Yes","No")</f>
        <v>No</v>
      </c>
      <c r="O249" s="10" t="str">
        <f aca="false">IF(M249&lt;=Parameters!$B$3,IF(COUNTIF(Parameters!$A$6:$A$7,E249)&gt;0,"Vehicles","Out of scope"),IF(COUNTIF(Parameters!$C$6:$C$14,E249)&gt;0,"H&amp;H","Out of scope"))</f>
        <v>Vehicles</v>
      </c>
      <c r="P249" s="22" t="n">
        <f aca="false">M249*F249</f>
        <v>22049</v>
      </c>
    </row>
    <row r="250" customFormat="false" ht="15" hidden="false" customHeight="false" outlineLevel="0" collapsed="false">
      <c r="A250" s="10" t="s">
        <v>362</v>
      </c>
      <c r="B250" s="21" t="n">
        <v>45964</v>
      </c>
      <c r="C250" s="10" t="s">
        <v>158</v>
      </c>
      <c r="D250" s="10" t="s">
        <v>111</v>
      </c>
      <c r="E250" s="10" t="n">
        <v>8703</v>
      </c>
      <c r="F250" s="22" t="n">
        <v>23</v>
      </c>
      <c r="G250" s="22" t="n">
        <v>50347</v>
      </c>
      <c r="H250" s="10" t="s">
        <v>31</v>
      </c>
      <c r="I250" s="10" t="str">
        <f aca="false">IFERROR(VLOOKUP(E250,Parameters!$G$6:$H$15,2,FALSE()),"")</f>
        <v>Passenger cars</v>
      </c>
      <c r="J250" s="10" t="str">
        <f aca="false">IFERROR(INDEX(Name_Map!$B$2:$B$102,MATCH(D250,Name_Map!$A$2:$A$102,0)),D250)</f>
        <v>Inca Automotriz S.A.C.</v>
      </c>
      <c r="K250" s="22" t="n">
        <f aca="false">IF(F250&gt;0,G250/F250,0)</f>
        <v>2189</v>
      </c>
      <c r="L250" s="10" t="str">
        <f aca="false">IF(AND(COUNTIFS($A$2:$A$307,A250,$E$2:$E$307,E250)&gt;1,COUNTIFS($A$2:$A$307,A250,$E$2:$E$307,E250,$G$2:$G$307,G250)=COUNTIFS($A$2:$A$307,A250,$E$2:$E$307,E250)),"CHECK","OK")</f>
        <v>OK</v>
      </c>
      <c r="M250" s="22" t="n">
        <f aca="false">IF(L250="CHECK",G250/SUMIFS($F$2:$F$307,$A$2:$A$307,A250,$E$2:$E$307,E250),K250)</f>
        <v>2189</v>
      </c>
      <c r="N250" s="10" t="str">
        <f aca="false">IF(COUNTIF(Parameters!$E$6:$E$13,H250)&gt;0,"Yes","No")</f>
        <v>Yes</v>
      </c>
      <c r="O250" s="10" t="str">
        <f aca="false">IF(M250&lt;=Parameters!$B$3,IF(COUNTIF(Parameters!$A$6:$A$7,E250)&gt;0,"Vehicles","Out of scope"),IF(COUNTIF(Parameters!$C$6:$C$14,E250)&gt;0,"H&amp;H","Out of scope"))</f>
        <v>Vehicles</v>
      </c>
      <c r="P250" s="22" t="n">
        <f aca="false">M250*F250</f>
        <v>50347</v>
      </c>
    </row>
    <row r="251" customFormat="false" ht="15" hidden="false" customHeight="false" outlineLevel="0" collapsed="false">
      <c r="A251" s="10" t="s">
        <v>363</v>
      </c>
      <c r="B251" s="21" t="n">
        <v>45968</v>
      </c>
      <c r="C251" s="10" t="s">
        <v>157</v>
      </c>
      <c r="D251" s="10" t="s">
        <v>147</v>
      </c>
      <c r="E251" s="10" t="n">
        <v>8704</v>
      </c>
      <c r="F251" s="22" t="n">
        <v>3</v>
      </c>
      <c r="G251" s="22" t="n">
        <v>27703</v>
      </c>
      <c r="H251" s="10" t="s">
        <v>242</v>
      </c>
      <c r="I251" s="10" t="str">
        <f aca="false">IFERROR(VLOOKUP(E251,Parameters!$G$6:$H$15,2,FALSE()),"")</f>
        <v>Goods vehicles (trucks)</v>
      </c>
      <c r="J251" s="10" t="str">
        <f aca="false">IFERROR(INDEX(Name_Map!$B$2:$B$102,MATCH(D251,Name_Map!$A$2:$A$102,0)),D251)</f>
        <v>Transcargo Pesados S.A.S.</v>
      </c>
      <c r="K251" s="22" t="n">
        <f aca="false">IF(F251&gt;0,G251/F251,0)</f>
        <v>9234.33333333333</v>
      </c>
      <c r="L251" s="10" t="str">
        <f aca="false">IF(AND(COUNTIFS($A$2:$A$307,A251,$E$2:$E$307,E251)&gt;1,COUNTIFS($A$2:$A$307,A251,$E$2:$E$307,E251,$G$2:$G$307,G251)=COUNTIFS($A$2:$A$307,A251,$E$2:$E$307,E251)),"CHECK","OK")</f>
        <v>OK</v>
      </c>
      <c r="M251" s="22" t="n">
        <f aca="false">IF(L251="CHECK",G251/SUMIFS($F$2:$F$307,$A$2:$A$307,A251,$E$2:$E$307,E251),K251)</f>
        <v>9234.33333333333</v>
      </c>
      <c r="N251" s="10" t="str">
        <f aca="false">IF(COUNTIF(Parameters!$E$6:$E$13,H251)&gt;0,"Yes","No")</f>
        <v>No</v>
      </c>
      <c r="O251" s="10" t="str">
        <f aca="false">IF(M251&lt;=Parameters!$B$3,IF(COUNTIF(Parameters!$A$6:$A$7,E251)&gt;0,"Vehicles","Out of scope"),IF(COUNTIF(Parameters!$C$6:$C$14,E251)&gt;0,"H&amp;H","Out of scope"))</f>
        <v>Vehicles</v>
      </c>
      <c r="P251" s="22" t="n">
        <f aca="false">M251*F251</f>
        <v>27703</v>
      </c>
    </row>
    <row r="252" customFormat="false" ht="15" hidden="false" customHeight="false" outlineLevel="0" collapsed="false">
      <c r="A252" s="10" t="s">
        <v>364</v>
      </c>
      <c r="B252" s="21" t="n">
        <v>45968</v>
      </c>
      <c r="C252" s="10" t="s">
        <v>158</v>
      </c>
      <c r="D252" s="10" t="s">
        <v>83</v>
      </c>
      <c r="E252" s="10" t="n">
        <v>8433</v>
      </c>
      <c r="F252" s="22" t="n">
        <v>3</v>
      </c>
      <c r="G252" s="22" t="n">
        <v>83966</v>
      </c>
      <c r="H252" s="10" t="s">
        <v>182</v>
      </c>
      <c r="I252" s="10" t="str">
        <f aca="false">IFERROR(VLOOKUP(E252,Parameters!$G$6:$H$15,2,FALSE()),"")</f>
        <v>Harvesting machinery</v>
      </c>
      <c r="J252" s="10" t="str">
        <f aca="false">IFERROR(INDEX(Name_Map!$B$2:$B$102,MATCH(D252,Name_Map!$A$2:$A$102,0)),D252)</f>
        <v>Costa Verde Maquinarias S.A.</v>
      </c>
      <c r="K252" s="22" t="n">
        <f aca="false">IF(F252&gt;0,G252/F252,0)</f>
        <v>27988.6666666667</v>
      </c>
      <c r="L252" s="10" t="str">
        <f aca="false">IF(AND(COUNTIFS($A$2:$A$307,A252,$E$2:$E$307,E252)&gt;1,COUNTIFS($A$2:$A$307,A252,$E$2:$E$307,E252,$G$2:$G$307,G252)=COUNTIFS($A$2:$A$307,A252,$E$2:$E$307,E252)),"CHECK","OK")</f>
        <v>OK</v>
      </c>
      <c r="M252" s="22" t="n">
        <f aca="false">IF(L252="CHECK",G252/SUMIFS($F$2:$F$307,$A$2:$A$307,A252,$E$2:$E$307,E252),K252)</f>
        <v>27988.6666666667</v>
      </c>
      <c r="N252" s="10" t="str">
        <f aca="false">IF(COUNTIF(Parameters!$E$6:$E$13,H252)&gt;0,"Yes","No")</f>
        <v>No</v>
      </c>
      <c r="O252" s="10" t="str">
        <f aca="false">IF(M252&lt;=Parameters!$B$3,IF(COUNTIF(Parameters!$A$6:$A$7,E252)&gt;0,"Vehicles","Out of scope"),IF(COUNTIF(Parameters!$C$6:$C$14,E252)&gt;0,"H&amp;H","Out of scope"))</f>
        <v>H&amp;H</v>
      </c>
      <c r="P252" s="22" t="n">
        <f aca="false">M252*F252</f>
        <v>83966</v>
      </c>
    </row>
    <row r="253" customFormat="false" ht="15" hidden="false" customHeight="false" outlineLevel="0" collapsed="false">
      <c r="A253" s="10" t="s">
        <v>365</v>
      </c>
      <c r="B253" s="21" t="n">
        <v>45970</v>
      </c>
      <c r="C253" s="10" t="s">
        <v>159</v>
      </c>
      <c r="D253" s="10" t="s">
        <v>105</v>
      </c>
      <c r="E253" s="10" t="n">
        <v>8705</v>
      </c>
      <c r="F253" s="22" t="n">
        <v>3</v>
      </c>
      <c r="G253" s="22" t="n">
        <v>138735</v>
      </c>
      <c r="H253" s="10" t="s">
        <v>41</v>
      </c>
      <c r="I253" s="10" t="str">
        <f aca="false">IFERROR(VLOOKUP(E253,Parameters!$G$6:$H$15,2,FALSE()),"")</f>
        <v>Special-purpose vehicles</v>
      </c>
      <c r="J253" s="10" t="str">
        <f aca="false">IFERROR(INDEX(Name_Map!$B$2:$B$102,MATCH(D253,Name_Map!$A$2:$A$102,0)),D253)</f>
        <v>Equinoccio Maquinaria S.A.</v>
      </c>
      <c r="K253" s="22" t="n">
        <f aca="false">IF(F253&gt;0,G253/F253,0)</f>
        <v>46245</v>
      </c>
      <c r="L253" s="10" t="str">
        <f aca="false">IF(AND(COUNTIFS($A$2:$A$307,A253,$E$2:$E$307,E253)&gt;1,COUNTIFS($A$2:$A$307,A253,$E$2:$E$307,E253,$G$2:$G$307,G253)=COUNTIFS($A$2:$A$307,A253,$E$2:$E$307,E253)),"CHECK","OK")</f>
        <v>OK</v>
      </c>
      <c r="M253" s="22" t="n">
        <f aca="false">IF(L253="CHECK",G253/SUMIFS($F$2:$F$307,$A$2:$A$307,A253,$E$2:$E$307,E253),K253)</f>
        <v>46245</v>
      </c>
      <c r="N253" s="10" t="str">
        <f aca="false">IF(COUNTIF(Parameters!$E$6:$E$13,H253)&gt;0,"Yes","No")</f>
        <v>Yes</v>
      </c>
      <c r="O253" s="10" t="str">
        <f aca="false">IF(M253&lt;=Parameters!$B$3,IF(COUNTIF(Parameters!$A$6:$A$7,E253)&gt;0,"Vehicles","Out of scope"),IF(COUNTIF(Parameters!$C$6:$C$14,E253)&gt;0,"H&amp;H","Out of scope"))</f>
        <v>H&amp;H</v>
      </c>
      <c r="P253" s="22" t="n">
        <f aca="false">M253*F253</f>
        <v>138735</v>
      </c>
    </row>
    <row r="254" customFormat="false" ht="15" hidden="false" customHeight="false" outlineLevel="0" collapsed="false">
      <c r="A254" s="10" t="s">
        <v>365</v>
      </c>
      <c r="B254" s="21" t="n">
        <v>45970</v>
      </c>
      <c r="C254" s="10" t="s">
        <v>159</v>
      </c>
      <c r="D254" s="10" t="s">
        <v>104</v>
      </c>
      <c r="E254" s="10" t="n">
        <v>8427</v>
      </c>
      <c r="F254" s="22" t="n">
        <v>4</v>
      </c>
      <c r="G254" s="22" t="n">
        <v>135928</v>
      </c>
      <c r="H254" s="10" t="s">
        <v>41</v>
      </c>
      <c r="I254" s="10" t="str">
        <f aca="false">IFERROR(VLOOKUP(E254,Parameters!$G$6:$H$15,2,FALSE()),"")</f>
        <v>Forklift trucks</v>
      </c>
      <c r="J254" s="10" t="str">
        <f aca="false">IFERROR(INDEX(Name_Map!$B$2:$B$102,MATCH(D254,Name_Map!$A$2:$A$102,0)),D254)</f>
        <v>Equinoccio Maquinaria S.A.</v>
      </c>
      <c r="K254" s="22" t="n">
        <f aca="false">IF(F254&gt;0,G254/F254,0)</f>
        <v>33982</v>
      </c>
      <c r="L254" s="10" t="str">
        <f aca="false">IF(AND(COUNTIFS($A$2:$A$307,A254,$E$2:$E$307,E254)&gt;1,COUNTIFS($A$2:$A$307,A254,$E$2:$E$307,E254,$G$2:$G$307,G254)=COUNTIFS($A$2:$A$307,A254,$E$2:$E$307,E254)),"CHECK","OK")</f>
        <v>OK</v>
      </c>
      <c r="M254" s="22" t="n">
        <f aca="false">IF(L254="CHECK",G254/SUMIFS($F$2:$F$307,$A$2:$A$307,A254,$E$2:$E$307,E254),K254)</f>
        <v>33982</v>
      </c>
      <c r="N254" s="10" t="str">
        <f aca="false">IF(COUNTIF(Parameters!$E$6:$E$13,H254)&gt;0,"Yes","No")</f>
        <v>Yes</v>
      </c>
      <c r="O254" s="10" t="str">
        <f aca="false">IF(M254&lt;=Parameters!$B$3,IF(COUNTIF(Parameters!$A$6:$A$7,E254)&gt;0,"Vehicles","Out of scope"),IF(COUNTIF(Parameters!$C$6:$C$14,E254)&gt;0,"H&amp;H","Out of scope"))</f>
        <v>H&amp;H</v>
      </c>
      <c r="P254" s="22" t="n">
        <f aca="false">M254*F254</f>
        <v>135928</v>
      </c>
    </row>
    <row r="255" customFormat="false" ht="15" hidden="false" customHeight="false" outlineLevel="0" collapsed="false">
      <c r="A255" s="10" t="s">
        <v>366</v>
      </c>
      <c r="B255" s="21" t="n">
        <v>45973</v>
      </c>
      <c r="C255" s="10" t="s">
        <v>157</v>
      </c>
      <c r="D255" s="10" t="s">
        <v>124</v>
      </c>
      <c r="E255" s="10" t="n">
        <v>8429</v>
      </c>
      <c r="F255" s="22" t="n">
        <v>3</v>
      </c>
      <c r="G255" s="22" t="n">
        <v>94775</v>
      </c>
      <c r="H255" s="10" t="s">
        <v>186</v>
      </c>
      <c r="I255" s="10" t="str">
        <f aca="false">IFERROR(VLOOKUP(E255,Parameters!$G$6:$H$15,2,FALSE()),"")</f>
        <v>Bulldozers / excavators / loaders</v>
      </c>
      <c r="J255" s="10" t="str">
        <f aca="false">IFERROR(INDEX(Name_Map!$B$2:$B$102,MATCH(D255,Name_Map!$A$2:$A$102,0)),D255)</f>
        <v>Llanos Agro Equipos S.A.S.</v>
      </c>
      <c r="K255" s="22" t="n">
        <f aca="false">IF(F255&gt;0,G255/F255,0)</f>
        <v>31591.6666666667</v>
      </c>
      <c r="L255" s="10" t="str">
        <f aca="false">IF(AND(COUNTIFS($A$2:$A$307,A255,$E$2:$E$307,E255)&gt;1,COUNTIFS($A$2:$A$307,A255,$E$2:$E$307,E255,$G$2:$G$307,G255)=COUNTIFS($A$2:$A$307,A255,$E$2:$E$307,E255)),"CHECK","OK")</f>
        <v>OK</v>
      </c>
      <c r="M255" s="22" t="n">
        <f aca="false">IF(L255="CHECK",G255/SUMIFS($F$2:$F$307,$A$2:$A$307,A255,$E$2:$E$307,E255),K255)</f>
        <v>31591.6666666667</v>
      </c>
      <c r="N255" s="10" t="str">
        <f aca="false">IF(COUNTIF(Parameters!$E$6:$E$13,H255)&gt;0,"Yes","No")</f>
        <v>No</v>
      </c>
      <c r="O255" s="10" t="str">
        <f aca="false">IF(M255&lt;=Parameters!$B$3,IF(COUNTIF(Parameters!$A$6:$A$7,E255)&gt;0,"Vehicles","Out of scope"),IF(COUNTIF(Parameters!$C$6:$C$14,E255)&gt;0,"H&amp;H","Out of scope"))</f>
        <v>H&amp;H</v>
      </c>
      <c r="P255" s="22" t="n">
        <f aca="false">M255*F255</f>
        <v>94775</v>
      </c>
    </row>
    <row r="256" customFormat="false" ht="15" hidden="false" customHeight="false" outlineLevel="0" collapsed="false">
      <c r="A256" s="10" t="s">
        <v>367</v>
      </c>
      <c r="B256" s="21" t="n">
        <v>45973</v>
      </c>
      <c r="C256" s="10" t="s">
        <v>160</v>
      </c>
      <c r="D256" s="10" t="s">
        <v>138</v>
      </c>
      <c r="E256" s="10" t="n">
        <v>8704</v>
      </c>
      <c r="F256" s="22" t="n">
        <v>2</v>
      </c>
      <c r="G256" s="22" t="n">
        <v>34176</v>
      </c>
      <c r="H256" s="10" t="s">
        <v>33</v>
      </c>
      <c r="I256" s="10" t="str">
        <f aca="false">IFERROR(VLOOKUP(E256,Parameters!$G$6:$H$15,2,FALSE()),"")</f>
        <v>Goods vehicles (trucks)</v>
      </c>
      <c r="J256" s="10" t="str">
        <f aca="false">IFERROR(INDEX(Name_Map!$B$2:$B$102,MATCH(D256,Name_Map!$A$2:$A$102,0)),D256)</f>
        <v>Quisqueya Motors S.R.L.</v>
      </c>
      <c r="K256" s="22" t="n">
        <f aca="false">IF(F256&gt;0,G256/F256,0)</f>
        <v>17088</v>
      </c>
      <c r="L256" s="10" t="str">
        <f aca="false">IF(AND(COUNTIFS($A$2:$A$307,A256,$E$2:$E$307,E256)&gt;1,COUNTIFS($A$2:$A$307,A256,$E$2:$E$307,E256,$G$2:$G$307,G256)=COUNTIFS($A$2:$A$307,A256,$E$2:$E$307,E256)),"CHECK","OK")</f>
        <v>CHECK</v>
      </c>
      <c r="M256" s="22" t="n">
        <f aca="false">IF(L256="CHECK",G256/SUMIFS($F$2:$F$307,$A$2:$A$307,A256,$E$2:$E$307,E256),K256)</f>
        <v>5696</v>
      </c>
      <c r="N256" s="10" t="str">
        <f aca="false">IF(COUNTIF(Parameters!$E$6:$E$13,H256)&gt;0,"Yes","No")</f>
        <v>Yes</v>
      </c>
      <c r="O256" s="10" t="str">
        <f aca="false">IF(M256&lt;=Parameters!$B$3,IF(COUNTIF(Parameters!$A$6:$A$7,E256)&gt;0,"Vehicles","Out of scope"),IF(COUNTIF(Parameters!$C$6:$C$14,E256)&gt;0,"H&amp;H","Out of scope"))</f>
        <v>Vehicles</v>
      </c>
      <c r="P256" s="22" t="n">
        <f aca="false">M256*F256</f>
        <v>11392</v>
      </c>
    </row>
    <row r="257" customFormat="false" ht="15" hidden="false" customHeight="false" outlineLevel="0" collapsed="false">
      <c r="A257" s="10" t="s">
        <v>367</v>
      </c>
      <c r="B257" s="21" t="n">
        <v>45973</v>
      </c>
      <c r="C257" s="10" t="s">
        <v>160</v>
      </c>
      <c r="D257" s="10" t="s">
        <v>137</v>
      </c>
      <c r="E257" s="10" t="n">
        <v>8704</v>
      </c>
      <c r="F257" s="22" t="n">
        <v>3</v>
      </c>
      <c r="G257" s="22" t="n">
        <v>34176</v>
      </c>
      <c r="H257" s="10" t="s">
        <v>27</v>
      </c>
      <c r="I257" s="10" t="str">
        <f aca="false">IFERROR(VLOOKUP(E257,Parameters!$G$6:$H$15,2,FALSE()),"")</f>
        <v>Goods vehicles (trucks)</v>
      </c>
      <c r="J257" s="10" t="str">
        <f aca="false">IFERROR(INDEX(Name_Map!$B$2:$B$102,MATCH(D257,Name_Map!$A$2:$A$102,0)),D257)</f>
        <v>Quisqueya Motors S.R.L.</v>
      </c>
      <c r="K257" s="22" t="n">
        <f aca="false">IF(F257&gt;0,G257/F257,0)</f>
        <v>11392</v>
      </c>
      <c r="L257" s="10" t="str">
        <f aca="false">IF(AND(COUNTIFS($A$2:$A$307,A257,$E$2:$E$307,E257)&gt;1,COUNTIFS($A$2:$A$307,A257,$E$2:$E$307,E257,$G$2:$G$307,G257)=COUNTIFS($A$2:$A$307,A257,$E$2:$E$307,E257)),"CHECK","OK")</f>
        <v>CHECK</v>
      </c>
      <c r="M257" s="22" t="n">
        <f aca="false">IF(L257="CHECK",G257/SUMIFS($F$2:$F$307,$A$2:$A$307,A257,$E$2:$E$307,E257),K257)</f>
        <v>5696</v>
      </c>
      <c r="N257" s="10" t="str">
        <f aca="false">IF(COUNTIF(Parameters!$E$6:$E$13,H257)&gt;0,"Yes","No")</f>
        <v>Yes</v>
      </c>
      <c r="O257" s="10" t="str">
        <f aca="false">IF(M257&lt;=Parameters!$B$3,IF(COUNTIF(Parameters!$A$6:$A$7,E257)&gt;0,"Vehicles","Out of scope"),IF(COUNTIF(Parameters!$C$6:$C$14,E257)&gt;0,"H&amp;H","Out of scope"))</f>
        <v>Vehicles</v>
      </c>
      <c r="P257" s="22" t="n">
        <f aca="false">M257*F257</f>
        <v>17088</v>
      </c>
    </row>
    <row r="258" customFormat="false" ht="15" hidden="false" customHeight="false" outlineLevel="0" collapsed="false">
      <c r="A258" s="10" t="s">
        <v>367</v>
      </c>
      <c r="B258" s="21" t="n">
        <v>45973</v>
      </c>
      <c r="C258" s="10" t="s">
        <v>160</v>
      </c>
      <c r="D258" s="10" t="s">
        <v>138</v>
      </c>
      <c r="E258" s="10" t="n">
        <v>8704</v>
      </c>
      <c r="F258" s="22" t="n">
        <v>1</v>
      </c>
      <c r="G258" s="22" t="n">
        <v>34176</v>
      </c>
      <c r="H258" s="10" t="s">
        <v>37</v>
      </c>
      <c r="I258" s="10" t="str">
        <f aca="false">IFERROR(VLOOKUP(E258,Parameters!$G$6:$H$15,2,FALSE()),"")</f>
        <v>Goods vehicles (trucks)</v>
      </c>
      <c r="J258" s="10" t="str">
        <f aca="false">IFERROR(INDEX(Name_Map!$B$2:$B$102,MATCH(D258,Name_Map!$A$2:$A$102,0)),D258)</f>
        <v>Quisqueya Motors S.R.L.</v>
      </c>
      <c r="K258" s="22" t="n">
        <f aca="false">IF(F258&gt;0,G258/F258,0)</f>
        <v>34176</v>
      </c>
      <c r="L258" s="10" t="str">
        <f aca="false">IF(AND(COUNTIFS($A$2:$A$307,A258,$E$2:$E$307,E258)&gt;1,COUNTIFS($A$2:$A$307,A258,$E$2:$E$307,E258,$G$2:$G$307,G258)=COUNTIFS($A$2:$A$307,A258,$E$2:$E$307,E258)),"CHECK","OK")</f>
        <v>CHECK</v>
      </c>
      <c r="M258" s="22" t="n">
        <f aca="false">IF(L258="CHECK",G258/SUMIFS($F$2:$F$307,$A$2:$A$307,A258,$E$2:$E$307,E258),K258)</f>
        <v>5696</v>
      </c>
      <c r="N258" s="10" t="str">
        <f aca="false">IF(COUNTIF(Parameters!$E$6:$E$13,H258)&gt;0,"Yes","No")</f>
        <v>Yes</v>
      </c>
      <c r="O258" s="10" t="str">
        <f aca="false">IF(M258&lt;=Parameters!$B$3,IF(COUNTIF(Parameters!$A$6:$A$7,E258)&gt;0,"Vehicles","Out of scope"),IF(COUNTIF(Parameters!$C$6:$C$14,E258)&gt;0,"H&amp;H","Out of scope"))</f>
        <v>Vehicles</v>
      </c>
      <c r="P258" s="22" t="n">
        <f aca="false">M258*F258</f>
        <v>5696</v>
      </c>
    </row>
    <row r="259" customFormat="false" ht="15" hidden="false" customHeight="false" outlineLevel="0" collapsed="false">
      <c r="A259" s="10" t="s">
        <v>368</v>
      </c>
      <c r="B259" s="21" t="n">
        <v>45974</v>
      </c>
      <c r="C259" s="10" t="s">
        <v>159</v>
      </c>
      <c r="D259" s="10" t="s">
        <v>98</v>
      </c>
      <c r="E259" s="10" t="n">
        <v>8703</v>
      </c>
      <c r="F259" s="22" t="n">
        <v>17</v>
      </c>
      <c r="G259" s="22" t="n">
        <v>34781</v>
      </c>
      <c r="H259" s="10" t="s">
        <v>37</v>
      </c>
      <c r="I259" s="10" t="str">
        <f aca="false">IFERROR(VLOOKUP(E259,Parameters!$G$6:$H$15,2,FALSE()),"")</f>
        <v>Passenger cars</v>
      </c>
      <c r="J259" s="10" t="str">
        <f aca="false">IFERROR(INDEX(Name_Map!$B$2:$B$102,MATCH(D259,Name_Map!$A$2:$A$102,0)),D259)</f>
        <v>Ecuamotors Cia. Ltda.</v>
      </c>
      <c r="K259" s="22" t="n">
        <f aca="false">IF(F259&gt;0,G259/F259,0)</f>
        <v>2045.94117647059</v>
      </c>
      <c r="L259" s="10" t="str">
        <f aca="false">IF(AND(COUNTIFS($A$2:$A$307,A259,$E$2:$E$307,E259)&gt;1,COUNTIFS($A$2:$A$307,A259,$E$2:$E$307,E259,$G$2:$G$307,G259)=COUNTIFS($A$2:$A$307,A259,$E$2:$E$307,E259)),"CHECK","OK")</f>
        <v>OK</v>
      </c>
      <c r="M259" s="22" t="n">
        <f aca="false">IF(L259="CHECK",G259/SUMIFS($F$2:$F$307,$A$2:$A$307,A259,$E$2:$E$307,E259),K259)</f>
        <v>2045.94117647059</v>
      </c>
      <c r="N259" s="10" t="str">
        <f aca="false">IF(COUNTIF(Parameters!$E$6:$E$13,H259)&gt;0,"Yes","No")</f>
        <v>Yes</v>
      </c>
      <c r="O259" s="10" t="str">
        <f aca="false">IF(M259&lt;=Parameters!$B$3,IF(COUNTIF(Parameters!$A$6:$A$7,E259)&gt;0,"Vehicles","Out of scope"),IF(COUNTIF(Parameters!$C$6:$C$14,E259)&gt;0,"H&amp;H","Out of scope"))</f>
        <v>Vehicles</v>
      </c>
      <c r="P259" s="22" t="n">
        <f aca="false">M259*F259</f>
        <v>34781</v>
      </c>
    </row>
    <row r="260" customFormat="false" ht="15" hidden="false" customHeight="false" outlineLevel="0" collapsed="false">
      <c r="A260" s="10" t="s">
        <v>369</v>
      </c>
      <c r="B260" s="21" t="n">
        <v>45978</v>
      </c>
      <c r="C260" s="10" t="s">
        <v>158</v>
      </c>
      <c r="D260" s="10" t="s">
        <v>111</v>
      </c>
      <c r="E260" s="10" t="n">
        <v>8704</v>
      </c>
      <c r="F260" s="22" t="n">
        <v>10</v>
      </c>
      <c r="G260" s="22" t="n">
        <v>45679</v>
      </c>
      <c r="H260" s="10" t="s">
        <v>27</v>
      </c>
      <c r="I260" s="10" t="str">
        <f aca="false">IFERROR(VLOOKUP(E260,Parameters!$G$6:$H$15,2,FALSE()),"")</f>
        <v>Goods vehicles (trucks)</v>
      </c>
      <c r="J260" s="10" t="str">
        <f aca="false">IFERROR(INDEX(Name_Map!$B$2:$B$102,MATCH(D260,Name_Map!$A$2:$A$102,0)),D260)</f>
        <v>Inca Automotriz S.A.C.</v>
      </c>
      <c r="K260" s="22" t="n">
        <f aca="false">IF(F260&gt;0,G260/F260,0)</f>
        <v>4567.9</v>
      </c>
      <c r="L260" s="10" t="str">
        <f aca="false">IF(AND(COUNTIFS($A$2:$A$307,A260,$E$2:$E$307,E260)&gt;1,COUNTIFS($A$2:$A$307,A260,$E$2:$E$307,E260,$G$2:$G$307,G260)=COUNTIFS($A$2:$A$307,A260,$E$2:$E$307,E260)),"CHECK","OK")</f>
        <v>OK</v>
      </c>
      <c r="M260" s="22" t="n">
        <f aca="false">IF(L260="CHECK",G260/SUMIFS($F$2:$F$307,$A$2:$A$307,A260,$E$2:$E$307,E260),K260)</f>
        <v>4567.9</v>
      </c>
      <c r="N260" s="10" t="str">
        <f aca="false">IF(COUNTIF(Parameters!$E$6:$E$13,H260)&gt;0,"Yes","No")</f>
        <v>Yes</v>
      </c>
      <c r="O260" s="10" t="str">
        <f aca="false">IF(M260&lt;=Parameters!$B$3,IF(COUNTIF(Parameters!$A$6:$A$7,E260)&gt;0,"Vehicles","Out of scope"),IF(COUNTIF(Parameters!$C$6:$C$14,E260)&gt;0,"H&amp;H","Out of scope"))</f>
        <v>Vehicles</v>
      </c>
      <c r="P260" s="22" t="n">
        <f aca="false">M260*F260</f>
        <v>45679</v>
      </c>
    </row>
    <row r="261" customFormat="false" ht="15" hidden="false" customHeight="false" outlineLevel="0" collapsed="false">
      <c r="A261" s="10" t="s">
        <v>370</v>
      </c>
      <c r="B261" s="21" t="n">
        <v>45981</v>
      </c>
      <c r="C261" s="10" t="s">
        <v>159</v>
      </c>
      <c r="D261" s="10" t="s">
        <v>136</v>
      </c>
      <c r="E261" s="10" t="n">
        <v>8430</v>
      </c>
      <c r="F261" s="22" t="n">
        <v>4</v>
      </c>
      <c r="G261" s="22" t="n">
        <v>234189</v>
      </c>
      <c r="H261" s="10" t="s">
        <v>193</v>
      </c>
      <c r="I261" s="10" t="str">
        <f aca="false">IFERROR(VLOOKUP(E261,Parameters!$G$6:$H$15,2,FALSE()),"")</f>
        <v>Other earthmoving / drilling machinery</v>
      </c>
      <c r="J261" s="10" t="str">
        <f aca="false">IFERROR(INDEX(Name_Map!$B$2:$B$102,MATCH(D261,Name_Map!$A$2:$A$102,0)),D261)</f>
        <v>Pichincha Heavy Equipment S.A.</v>
      </c>
      <c r="K261" s="22" t="n">
        <f aca="false">IF(F261&gt;0,G261/F261,0)</f>
        <v>58547.25</v>
      </c>
      <c r="L261" s="10" t="str">
        <f aca="false">IF(AND(COUNTIFS($A$2:$A$307,A261,$E$2:$E$307,E261)&gt;1,COUNTIFS($A$2:$A$307,A261,$E$2:$E$307,E261,$G$2:$G$307,G261)=COUNTIFS($A$2:$A$307,A261,$E$2:$E$307,E261)),"CHECK","OK")</f>
        <v>OK</v>
      </c>
      <c r="M261" s="22" t="n">
        <f aca="false">IF(L261="CHECK",G261/SUMIFS($F$2:$F$307,$A$2:$A$307,A261,$E$2:$E$307,E261),K261)</f>
        <v>58547.25</v>
      </c>
      <c r="N261" s="10" t="str">
        <f aca="false">IF(COUNTIF(Parameters!$E$6:$E$13,H261)&gt;0,"Yes","No")</f>
        <v>No</v>
      </c>
      <c r="O261" s="10" t="str">
        <f aca="false">IF(M261&lt;=Parameters!$B$3,IF(COUNTIF(Parameters!$A$6:$A$7,E261)&gt;0,"Vehicles","Out of scope"),IF(COUNTIF(Parameters!$C$6:$C$14,E261)&gt;0,"H&amp;H","Out of scope"))</f>
        <v>H&amp;H</v>
      </c>
      <c r="P261" s="22" t="n">
        <f aca="false">M261*F261</f>
        <v>234189</v>
      </c>
    </row>
    <row r="262" customFormat="false" ht="15" hidden="false" customHeight="false" outlineLevel="0" collapsed="false">
      <c r="A262" s="10" t="s">
        <v>371</v>
      </c>
      <c r="B262" s="21" t="n">
        <v>45984</v>
      </c>
      <c r="C262" s="10" t="s">
        <v>157</v>
      </c>
      <c r="D262" s="10" t="s">
        <v>71</v>
      </c>
      <c r="E262" s="10" t="n">
        <v>8703</v>
      </c>
      <c r="F262" s="22" t="n">
        <v>30</v>
      </c>
      <c r="G262" s="22" t="n">
        <v>39270</v>
      </c>
      <c r="H262" s="10" t="s">
        <v>41</v>
      </c>
      <c r="I262" s="10" t="str">
        <f aca="false">IFERROR(VLOOKUP(E262,Parameters!$G$6:$H$15,2,FALSE()),"")</f>
        <v>Passenger cars</v>
      </c>
      <c r="J262" s="10" t="str">
        <f aca="false">IFERROR(INDEX(Name_Map!$B$2:$B$102,MATCH(D262,Name_Map!$A$2:$A$102,0)),D262)</f>
        <v>Bogota Car Import S.A.S.</v>
      </c>
      <c r="K262" s="22" t="n">
        <f aca="false">IF(F262&gt;0,G262/F262,0)</f>
        <v>1309</v>
      </c>
      <c r="L262" s="10" t="str">
        <f aca="false">IF(AND(COUNTIFS($A$2:$A$307,A262,$E$2:$E$307,E262)&gt;1,COUNTIFS($A$2:$A$307,A262,$E$2:$E$307,E262,$G$2:$G$307,G262)=COUNTIFS($A$2:$A$307,A262,$E$2:$E$307,E262)),"CHECK","OK")</f>
        <v>OK</v>
      </c>
      <c r="M262" s="22" t="n">
        <f aca="false">IF(L262="CHECK",G262/SUMIFS($F$2:$F$307,$A$2:$A$307,A262,$E$2:$E$307,E262),K262)</f>
        <v>1309</v>
      </c>
      <c r="N262" s="10" t="str">
        <f aca="false">IF(COUNTIF(Parameters!$E$6:$E$13,H262)&gt;0,"Yes","No")</f>
        <v>Yes</v>
      </c>
      <c r="O262" s="10" t="str">
        <f aca="false">IF(M262&lt;=Parameters!$B$3,IF(COUNTIF(Parameters!$A$6:$A$7,E262)&gt;0,"Vehicles","Out of scope"),IF(COUNTIF(Parameters!$C$6:$C$14,E262)&gt;0,"H&amp;H","Out of scope"))</f>
        <v>Vehicles</v>
      </c>
      <c r="P262" s="22" t="n">
        <f aca="false">M262*F262</f>
        <v>39270</v>
      </c>
    </row>
    <row r="263" customFormat="false" ht="15" hidden="false" customHeight="false" outlineLevel="0" collapsed="false">
      <c r="A263" s="10" t="s">
        <v>372</v>
      </c>
      <c r="B263" s="21" t="n">
        <v>45984</v>
      </c>
      <c r="C263" s="10" t="s">
        <v>158</v>
      </c>
      <c r="D263" s="10" t="s">
        <v>48</v>
      </c>
      <c r="E263" s="10" t="n">
        <v>8429</v>
      </c>
      <c r="F263" s="22" t="n">
        <v>1</v>
      </c>
      <c r="G263" s="22" t="n">
        <v>52370</v>
      </c>
      <c r="H263" s="10" t="s">
        <v>193</v>
      </c>
      <c r="I263" s="10" t="str">
        <f aca="false">IFERROR(VLOOKUP(E263,Parameters!$G$6:$H$15,2,FALSE()),"")</f>
        <v>Bulldozers / excavators / loaders</v>
      </c>
      <c r="J263" s="10" t="str">
        <f aca="false">IFERROR(INDEX(Name_Map!$B$2:$B$102,MATCH(D263,Name_Map!$A$2:$A$102,0)),D263)</f>
        <v>Altiplano Trucks S.A.C.</v>
      </c>
      <c r="K263" s="22" t="n">
        <f aca="false">IF(F263&gt;0,G263/F263,0)</f>
        <v>52370</v>
      </c>
      <c r="L263" s="10" t="str">
        <f aca="false">IF(AND(COUNTIFS($A$2:$A$307,A263,$E$2:$E$307,E263)&gt;1,COUNTIFS($A$2:$A$307,A263,$E$2:$E$307,E263,$G$2:$G$307,G263)=COUNTIFS($A$2:$A$307,A263,$E$2:$E$307,E263)),"CHECK","OK")</f>
        <v>OK</v>
      </c>
      <c r="M263" s="22" t="n">
        <f aca="false">IF(L263="CHECK",G263/SUMIFS($F$2:$F$307,$A$2:$A$307,A263,$E$2:$E$307,E263),K263)</f>
        <v>52370</v>
      </c>
      <c r="N263" s="10" t="str">
        <f aca="false">IF(COUNTIF(Parameters!$E$6:$E$13,H263)&gt;0,"Yes","No")</f>
        <v>No</v>
      </c>
      <c r="O263" s="10" t="str">
        <f aca="false">IF(M263&lt;=Parameters!$B$3,IF(COUNTIF(Parameters!$A$6:$A$7,E263)&gt;0,"Vehicles","Out of scope"),IF(COUNTIF(Parameters!$C$6:$C$14,E263)&gt;0,"H&amp;H","Out of scope"))</f>
        <v>H&amp;H</v>
      </c>
      <c r="P263" s="22" t="n">
        <f aca="false">M263*F263</f>
        <v>52370</v>
      </c>
    </row>
    <row r="264" customFormat="false" ht="15" hidden="false" customHeight="false" outlineLevel="0" collapsed="false">
      <c r="A264" s="10" t="s">
        <v>373</v>
      </c>
      <c r="B264" s="21" t="n">
        <v>45985</v>
      </c>
      <c r="C264" s="10" t="s">
        <v>156</v>
      </c>
      <c r="D264" s="10" t="s">
        <v>61</v>
      </c>
      <c r="E264" s="10" t="n">
        <v>8703</v>
      </c>
      <c r="F264" s="22" t="n">
        <v>8</v>
      </c>
      <c r="G264" s="22" t="n">
        <v>20349</v>
      </c>
      <c r="H264" s="10" t="s">
        <v>35</v>
      </c>
      <c r="I264" s="10" t="str">
        <f aca="false">IFERROR(VLOOKUP(E264,Parameters!$G$6:$H$15,2,FALSE()),"")</f>
        <v>Passenger cars</v>
      </c>
      <c r="J264" s="10" t="str">
        <f aca="false">IFERROR(INDEX(Name_Map!$B$2:$B$102,MATCH(D264,Name_Map!$A$2:$A$102,0)),D264)</f>
        <v>Andes Motor Group S.A.</v>
      </c>
      <c r="K264" s="22" t="n">
        <f aca="false">IF(F264&gt;0,G264/F264,0)</f>
        <v>2543.625</v>
      </c>
      <c r="L264" s="10" t="str">
        <f aca="false">IF(AND(COUNTIFS($A$2:$A$307,A264,$E$2:$E$307,E264)&gt;1,COUNTIFS($A$2:$A$307,A264,$E$2:$E$307,E264,$G$2:$G$307,G264)=COUNTIFS($A$2:$A$307,A264,$E$2:$E$307,E264)),"CHECK","OK")</f>
        <v>OK</v>
      </c>
      <c r="M264" s="22" t="n">
        <f aca="false">IF(L264="CHECK",G264/SUMIFS($F$2:$F$307,$A$2:$A$307,A264,$E$2:$E$307,E264),K264)</f>
        <v>2543.625</v>
      </c>
      <c r="N264" s="10" t="str">
        <f aca="false">IF(COUNTIF(Parameters!$E$6:$E$13,H264)&gt;0,"Yes","No")</f>
        <v>Yes</v>
      </c>
      <c r="O264" s="10" t="str">
        <f aca="false">IF(M264&lt;=Parameters!$B$3,IF(COUNTIF(Parameters!$A$6:$A$7,E264)&gt;0,"Vehicles","Out of scope"),IF(COUNTIF(Parameters!$C$6:$C$14,E264)&gt;0,"H&amp;H","Out of scope"))</f>
        <v>Vehicles</v>
      </c>
      <c r="P264" s="22" t="n">
        <f aca="false">M264*F264</f>
        <v>20349</v>
      </c>
    </row>
    <row r="265" customFormat="false" ht="15" hidden="false" customHeight="false" outlineLevel="0" collapsed="false">
      <c r="A265" s="10" t="s">
        <v>374</v>
      </c>
      <c r="B265" s="21" t="n">
        <v>45985</v>
      </c>
      <c r="C265" s="10" t="s">
        <v>156</v>
      </c>
      <c r="D265" s="10" t="s">
        <v>66</v>
      </c>
      <c r="E265" s="10" t="n">
        <v>8703</v>
      </c>
      <c r="F265" s="22" t="n">
        <v>16</v>
      </c>
      <c r="G265" s="22" t="n">
        <v>19491</v>
      </c>
      <c r="H265" s="10" t="s">
        <v>223</v>
      </c>
      <c r="I265" s="10" t="str">
        <f aca="false">IFERROR(VLOOKUP(E265,Parameters!$G$6:$H$15,2,FALSE()),"")</f>
        <v>Passenger cars</v>
      </c>
      <c r="J265" s="10" t="str">
        <f aca="false">IFERROR(INDEX(Name_Map!$B$2:$B$102,MATCH(D265,Name_Map!$A$2:$A$102,0)),D265)</f>
        <v>Austral Truck Center SpA</v>
      </c>
      <c r="K265" s="22" t="n">
        <f aca="false">IF(F265&gt;0,G265/F265,0)</f>
        <v>1218.1875</v>
      </c>
      <c r="L265" s="10" t="str">
        <f aca="false">IF(AND(COUNTIFS($A$2:$A$307,A265,$E$2:$E$307,E265)&gt;1,COUNTIFS($A$2:$A$307,A265,$E$2:$E$307,E265,$G$2:$G$307,G265)=COUNTIFS($A$2:$A$307,A265,$E$2:$E$307,E265)),"CHECK","OK")</f>
        <v>OK</v>
      </c>
      <c r="M265" s="22" t="n">
        <f aca="false">IF(L265="CHECK",G265/SUMIFS($F$2:$F$307,$A$2:$A$307,A265,$E$2:$E$307,E265),K265)</f>
        <v>1218.1875</v>
      </c>
      <c r="N265" s="10" t="str">
        <f aca="false">IF(COUNTIF(Parameters!$E$6:$E$13,H265)&gt;0,"Yes","No")</f>
        <v>No</v>
      </c>
      <c r="O265" s="10" t="str">
        <f aca="false">IF(M265&lt;=Parameters!$B$3,IF(COUNTIF(Parameters!$A$6:$A$7,E265)&gt;0,"Vehicles","Out of scope"),IF(COUNTIF(Parameters!$C$6:$C$14,E265)&gt;0,"H&amp;H","Out of scope"))</f>
        <v>Vehicles</v>
      </c>
      <c r="P265" s="22" t="n">
        <f aca="false">M265*F265</f>
        <v>19491</v>
      </c>
    </row>
    <row r="266" customFormat="false" ht="15" hidden="false" customHeight="false" outlineLevel="0" collapsed="false">
      <c r="A266" s="10" t="s">
        <v>375</v>
      </c>
      <c r="B266" s="21" t="n">
        <v>45985</v>
      </c>
      <c r="C266" s="10" t="s">
        <v>160</v>
      </c>
      <c r="D266" s="10" t="s">
        <v>137</v>
      </c>
      <c r="E266" s="10" t="n">
        <v>8704</v>
      </c>
      <c r="F266" s="22" t="n">
        <v>27</v>
      </c>
      <c r="G266" s="22" t="n">
        <v>139838</v>
      </c>
      <c r="H266" s="10" t="s">
        <v>193</v>
      </c>
      <c r="I266" s="10" t="str">
        <f aca="false">IFERROR(VLOOKUP(E266,Parameters!$G$6:$H$15,2,FALSE()),"")</f>
        <v>Goods vehicles (trucks)</v>
      </c>
      <c r="J266" s="10" t="str">
        <f aca="false">IFERROR(INDEX(Name_Map!$B$2:$B$102,MATCH(D266,Name_Map!$A$2:$A$102,0)),D266)</f>
        <v>Quisqueya Motors S.R.L.</v>
      </c>
      <c r="K266" s="22" t="n">
        <f aca="false">IF(F266&gt;0,G266/F266,0)</f>
        <v>5179.18518518519</v>
      </c>
      <c r="L266" s="10" t="str">
        <f aca="false">IF(AND(COUNTIFS($A$2:$A$307,A266,$E$2:$E$307,E266)&gt;1,COUNTIFS($A$2:$A$307,A266,$E$2:$E$307,E266,$G$2:$G$307,G266)=COUNTIFS($A$2:$A$307,A266,$E$2:$E$307,E266)),"CHECK","OK")</f>
        <v>OK</v>
      </c>
      <c r="M266" s="22" t="n">
        <f aca="false">IF(L266="CHECK",G266/SUMIFS($F$2:$F$307,$A$2:$A$307,A266,$E$2:$E$307,E266),K266)</f>
        <v>5179.18518518519</v>
      </c>
      <c r="N266" s="10" t="str">
        <f aca="false">IF(COUNTIF(Parameters!$E$6:$E$13,H266)&gt;0,"Yes","No")</f>
        <v>No</v>
      </c>
      <c r="O266" s="10" t="str">
        <f aca="false">IF(M266&lt;=Parameters!$B$3,IF(COUNTIF(Parameters!$A$6:$A$7,E266)&gt;0,"Vehicles","Out of scope"),IF(COUNTIF(Parameters!$C$6:$C$14,E266)&gt;0,"H&amp;H","Out of scope"))</f>
        <v>Vehicles</v>
      </c>
      <c r="P266" s="22" t="n">
        <f aca="false">M266*F266</f>
        <v>139838</v>
      </c>
    </row>
    <row r="267" customFormat="false" ht="15" hidden="false" customHeight="false" outlineLevel="0" collapsed="false">
      <c r="A267" s="10" t="s">
        <v>375</v>
      </c>
      <c r="B267" s="21" t="n">
        <v>45985</v>
      </c>
      <c r="C267" s="10" t="s">
        <v>160</v>
      </c>
      <c r="D267" s="10" t="s">
        <v>139</v>
      </c>
      <c r="E267" s="10" t="n">
        <v>8703</v>
      </c>
      <c r="F267" s="22" t="n">
        <v>3</v>
      </c>
      <c r="G267" s="22" t="n">
        <v>4412</v>
      </c>
      <c r="H267" s="10" t="s">
        <v>193</v>
      </c>
      <c r="I267" s="10" t="str">
        <f aca="false">IFERROR(VLOOKUP(E267,Parameters!$G$6:$H$15,2,FALSE()),"")</f>
        <v>Passenger cars</v>
      </c>
      <c r="J267" s="10" t="str">
        <f aca="false">IFERROR(INDEX(Name_Map!$B$2:$B$102,MATCH(D267,Name_Map!$A$2:$A$102,0)),D267)</f>
        <v>Quisqueya Motors S.R.L.</v>
      </c>
      <c r="K267" s="22" t="n">
        <f aca="false">IF(F267&gt;0,G267/F267,0)</f>
        <v>1470.66666666667</v>
      </c>
      <c r="L267" s="10" t="str">
        <f aca="false">IF(AND(COUNTIFS($A$2:$A$307,A267,$E$2:$E$307,E267)&gt;1,COUNTIFS($A$2:$A$307,A267,$E$2:$E$307,E267,$G$2:$G$307,G267)=COUNTIFS($A$2:$A$307,A267,$E$2:$E$307,E267)),"CHECK","OK")</f>
        <v>OK</v>
      </c>
      <c r="M267" s="22" t="n">
        <f aca="false">IF(L267="CHECK",G267/SUMIFS($F$2:$F$307,$A$2:$A$307,A267,$E$2:$E$307,E267),K267)</f>
        <v>1470.66666666667</v>
      </c>
      <c r="N267" s="10" t="str">
        <f aca="false">IF(COUNTIF(Parameters!$E$6:$E$13,H267)&gt;0,"Yes","No")</f>
        <v>No</v>
      </c>
      <c r="O267" s="10" t="str">
        <f aca="false">IF(M267&lt;=Parameters!$B$3,IF(COUNTIF(Parameters!$A$6:$A$7,E267)&gt;0,"Vehicles","Out of scope"),IF(COUNTIF(Parameters!$C$6:$C$14,E267)&gt;0,"H&amp;H","Out of scope"))</f>
        <v>Vehicles</v>
      </c>
      <c r="P267" s="22" t="n">
        <f aca="false">M267*F267</f>
        <v>4412</v>
      </c>
    </row>
    <row r="268" customFormat="false" ht="15" hidden="false" customHeight="false" outlineLevel="0" collapsed="false">
      <c r="A268" s="10" t="s">
        <v>376</v>
      </c>
      <c r="B268" s="21" t="n">
        <v>45985</v>
      </c>
      <c r="C268" s="10" t="s">
        <v>160</v>
      </c>
      <c r="D268" s="10" t="s">
        <v>142</v>
      </c>
      <c r="E268" s="10" t="n">
        <v>8703</v>
      </c>
      <c r="F268" s="22" t="n">
        <v>9</v>
      </c>
      <c r="G268" s="22" t="n">
        <v>19920</v>
      </c>
      <c r="H268" s="10" t="s">
        <v>31</v>
      </c>
      <c r="I268" s="10" t="str">
        <f aca="false">IFERROR(VLOOKUP(E268,Parameters!$G$6:$H$15,2,FALSE()),"")</f>
        <v>Passenger cars</v>
      </c>
      <c r="J268" s="10" t="str">
        <f aca="false">IFERROR(INDEX(Name_Map!$B$2:$B$102,MATCH(D268,Name_Map!$A$2:$A$102,0)),D268)</f>
        <v>Santo Domingo Autos S.R.L.</v>
      </c>
      <c r="K268" s="22" t="n">
        <f aca="false">IF(F268&gt;0,G268/F268,0)</f>
        <v>2213.33333333333</v>
      </c>
      <c r="L268" s="10" t="str">
        <f aca="false">IF(AND(COUNTIFS($A$2:$A$307,A268,$E$2:$E$307,E268)&gt;1,COUNTIFS($A$2:$A$307,A268,$E$2:$E$307,E268,$G$2:$G$307,G268)=COUNTIFS($A$2:$A$307,A268,$E$2:$E$307,E268)),"CHECK","OK")</f>
        <v>OK</v>
      </c>
      <c r="M268" s="22" t="n">
        <f aca="false">IF(L268="CHECK",G268/SUMIFS($F$2:$F$307,$A$2:$A$307,A268,$E$2:$E$307,E268),K268)</f>
        <v>2213.33333333333</v>
      </c>
      <c r="N268" s="10" t="str">
        <f aca="false">IF(COUNTIF(Parameters!$E$6:$E$13,H268)&gt;0,"Yes","No")</f>
        <v>Yes</v>
      </c>
      <c r="O268" s="10" t="str">
        <f aca="false">IF(M268&lt;=Parameters!$B$3,IF(COUNTIF(Parameters!$A$6:$A$7,E268)&gt;0,"Vehicles","Out of scope"),IF(COUNTIF(Parameters!$C$6:$C$14,E268)&gt;0,"H&amp;H","Out of scope"))</f>
        <v>Vehicles</v>
      </c>
      <c r="P268" s="22" t="n">
        <f aca="false">M268*F268</f>
        <v>19920</v>
      </c>
    </row>
    <row r="269" customFormat="false" ht="15" hidden="false" customHeight="false" outlineLevel="0" collapsed="false">
      <c r="A269" s="10" t="s">
        <v>376</v>
      </c>
      <c r="B269" s="21" t="n">
        <v>45985</v>
      </c>
      <c r="C269" s="10" t="s">
        <v>160</v>
      </c>
      <c r="D269" s="10" t="s">
        <v>142</v>
      </c>
      <c r="E269" s="10" t="n">
        <v>8703</v>
      </c>
      <c r="F269" s="22" t="n">
        <v>22</v>
      </c>
      <c r="G269" s="22" t="n">
        <v>35508</v>
      </c>
      <c r="H269" s="10" t="s">
        <v>31</v>
      </c>
      <c r="I269" s="10" t="str">
        <f aca="false">IFERROR(VLOOKUP(E269,Parameters!$G$6:$H$15,2,FALSE()),"")</f>
        <v>Passenger cars</v>
      </c>
      <c r="J269" s="10" t="str">
        <f aca="false">IFERROR(INDEX(Name_Map!$B$2:$B$102,MATCH(D269,Name_Map!$A$2:$A$102,0)),D269)</f>
        <v>Santo Domingo Autos S.R.L.</v>
      </c>
      <c r="K269" s="22" t="n">
        <f aca="false">IF(F269&gt;0,G269/F269,0)</f>
        <v>1614</v>
      </c>
      <c r="L269" s="10" t="str">
        <f aca="false">IF(AND(COUNTIFS($A$2:$A$307,A269,$E$2:$E$307,E269)&gt;1,COUNTIFS($A$2:$A$307,A269,$E$2:$E$307,E269,$G$2:$G$307,G269)=COUNTIFS($A$2:$A$307,A269,$E$2:$E$307,E269)),"CHECK","OK")</f>
        <v>OK</v>
      </c>
      <c r="M269" s="22" t="n">
        <f aca="false">IF(L269="CHECK",G269/SUMIFS($F$2:$F$307,$A$2:$A$307,A269,$E$2:$E$307,E269),K269)</f>
        <v>1614</v>
      </c>
      <c r="N269" s="10" t="str">
        <f aca="false">IF(COUNTIF(Parameters!$E$6:$E$13,H269)&gt;0,"Yes","No")</f>
        <v>Yes</v>
      </c>
      <c r="O269" s="10" t="str">
        <f aca="false">IF(M269&lt;=Parameters!$B$3,IF(COUNTIF(Parameters!$A$6:$A$7,E269)&gt;0,"Vehicles","Out of scope"),IF(COUNTIF(Parameters!$C$6:$C$14,E269)&gt;0,"H&amp;H","Out of scope"))</f>
        <v>Vehicles</v>
      </c>
      <c r="P269" s="22" t="n">
        <f aca="false">M269*F269</f>
        <v>35508</v>
      </c>
    </row>
    <row r="270" customFormat="false" ht="15" hidden="false" customHeight="false" outlineLevel="0" collapsed="false">
      <c r="A270" s="10" t="s">
        <v>377</v>
      </c>
      <c r="B270" s="21" t="n">
        <v>45985</v>
      </c>
      <c r="C270" s="10" t="s">
        <v>158</v>
      </c>
      <c r="D270" s="10" t="s">
        <v>84</v>
      </c>
      <c r="E270" s="10" t="n">
        <v>8426</v>
      </c>
      <c r="F270" s="22" t="n">
        <v>2</v>
      </c>
      <c r="G270" s="22" t="n">
        <v>94382</v>
      </c>
      <c r="H270" s="10" t="s">
        <v>242</v>
      </c>
      <c r="I270" s="10" t="str">
        <f aca="false">IFERROR(VLOOKUP(E270,Parameters!$G$6:$H$15,2,FALSE()),"")</f>
        <v>Cranes</v>
      </c>
      <c r="J270" s="10" t="str">
        <f aca="false">IFERROR(INDEX(Name_Map!$B$2:$B$102,MATCH(D270,Name_Map!$A$2:$A$102,0)),D270)</f>
        <v>Costa Verde Maquinarias S.A.</v>
      </c>
      <c r="K270" s="22" t="n">
        <f aca="false">IF(F270&gt;0,G270/F270,0)</f>
        <v>47191</v>
      </c>
      <c r="L270" s="10" t="str">
        <f aca="false">IF(AND(COUNTIFS($A$2:$A$307,A270,$E$2:$E$307,E270)&gt;1,COUNTIFS($A$2:$A$307,A270,$E$2:$E$307,E270,$G$2:$G$307,G270)=COUNTIFS($A$2:$A$307,A270,$E$2:$E$307,E270)),"CHECK","OK")</f>
        <v>OK</v>
      </c>
      <c r="M270" s="22" t="n">
        <f aca="false">IF(L270="CHECK",G270/SUMIFS($F$2:$F$307,$A$2:$A$307,A270,$E$2:$E$307,E270),K270)</f>
        <v>47191</v>
      </c>
      <c r="N270" s="10" t="str">
        <f aca="false">IF(COUNTIF(Parameters!$E$6:$E$13,H270)&gt;0,"Yes","No")</f>
        <v>No</v>
      </c>
      <c r="O270" s="10" t="str">
        <f aca="false">IF(M270&lt;=Parameters!$B$3,IF(COUNTIF(Parameters!$A$6:$A$7,E270)&gt;0,"Vehicles","Out of scope"),IF(COUNTIF(Parameters!$C$6:$C$14,E270)&gt;0,"H&amp;H","Out of scope"))</f>
        <v>H&amp;H</v>
      </c>
      <c r="P270" s="22" t="n">
        <f aca="false">M270*F270</f>
        <v>94382</v>
      </c>
    </row>
    <row r="271" customFormat="false" ht="15" hidden="false" customHeight="false" outlineLevel="0" collapsed="false">
      <c r="A271" s="10" t="s">
        <v>378</v>
      </c>
      <c r="B271" s="21" t="n">
        <v>45986</v>
      </c>
      <c r="C271" s="10" t="s">
        <v>161</v>
      </c>
      <c r="D271" s="10" t="s">
        <v>74</v>
      </c>
      <c r="E271" s="10" t="n">
        <v>8703</v>
      </c>
      <c r="F271" s="22" t="n">
        <v>30</v>
      </c>
      <c r="G271" s="22" t="n">
        <v>57777</v>
      </c>
      <c r="H271" s="10" t="s">
        <v>242</v>
      </c>
      <c r="I271" s="10" t="str">
        <f aca="false">IFERROR(VLOOKUP(E271,Parameters!$G$6:$H$15,2,FALSE()),"")</f>
        <v>Passenger cars</v>
      </c>
      <c r="J271" s="10" t="str">
        <f aca="false">IFERROR(INDEX(Name_Map!$B$2:$B$102,MATCH(D271,Name_Map!$A$2:$A$102,0)),D271)</f>
        <v>Canal Autos S.A.</v>
      </c>
      <c r="K271" s="22" t="n">
        <f aca="false">IF(F271&gt;0,G271/F271,0)</f>
        <v>1925.9</v>
      </c>
      <c r="L271" s="10" t="str">
        <f aca="false">IF(AND(COUNTIFS($A$2:$A$307,A271,$E$2:$E$307,E271)&gt;1,COUNTIFS($A$2:$A$307,A271,$E$2:$E$307,E271,$G$2:$G$307,G271)=COUNTIFS($A$2:$A$307,A271,$E$2:$E$307,E271)),"CHECK","OK")</f>
        <v>OK</v>
      </c>
      <c r="M271" s="22" t="n">
        <f aca="false">IF(L271="CHECK",G271/SUMIFS($F$2:$F$307,$A$2:$A$307,A271,$E$2:$E$307,E271),K271)</f>
        <v>1925.9</v>
      </c>
      <c r="N271" s="10" t="str">
        <f aca="false">IF(COUNTIF(Parameters!$E$6:$E$13,H271)&gt;0,"Yes","No")</f>
        <v>No</v>
      </c>
      <c r="O271" s="10" t="str">
        <f aca="false">IF(M271&lt;=Parameters!$B$3,IF(COUNTIF(Parameters!$A$6:$A$7,E271)&gt;0,"Vehicles","Out of scope"),IF(COUNTIF(Parameters!$C$6:$C$14,E271)&gt;0,"H&amp;H","Out of scope"))</f>
        <v>Vehicles</v>
      </c>
      <c r="P271" s="22" t="n">
        <f aca="false">M271*F271</f>
        <v>57777</v>
      </c>
    </row>
    <row r="272" customFormat="false" ht="15" hidden="false" customHeight="false" outlineLevel="0" collapsed="false">
      <c r="A272" s="10" t="s">
        <v>379</v>
      </c>
      <c r="B272" s="21" t="n">
        <v>45987</v>
      </c>
      <c r="C272" s="10" t="s">
        <v>159</v>
      </c>
      <c r="D272" s="10" t="s">
        <v>100</v>
      </c>
      <c r="E272" s="10" t="n">
        <v>8430</v>
      </c>
      <c r="F272" s="22" t="n">
        <v>1</v>
      </c>
      <c r="G272" s="22" t="n">
        <v>43250</v>
      </c>
      <c r="H272" s="10" t="s">
        <v>182</v>
      </c>
      <c r="I272" s="10" t="str">
        <f aca="false">IFERROR(VLOOKUP(E272,Parameters!$G$6:$H$15,2,FALSE()),"")</f>
        <v>Other earthmoving / drilling machinery</v>
      </c>
      <c r="J272" s="10" t="str">
        <f aca="false">IFERROR(INDEX(Name_Map!$B$2:$B$102,MATCH(D272,Name_Map!$A$2:$A$102,0)),D272)</f>
        <v>Equinoccio Maquinaria S.A.</v>
      </c>
      <c r="K272" s="22" t="n">
        <f aca="false">IF(F272&gt;0,G272/F272,0)</f>
        <v>43250</v>
      </c>
      <c r="L272" s="10" t="str">
        <f aca="false">IF(AND(COUNTIFS($A$2:$A$307,A272,$E$2:$E$307,E272)&gt;1,COUNTIFS($A$2:$A$307,A272,$E$2:$E$307,E272,$G$2:$G$307,G272)=COUNTIFS($A$2:$A$307,A272,$E$2:$E$307,E272)),"CHECK","OK")</f>
        <v>OK</v>
      </c>
      <c r="M272" s="22" t="n">
        <f aca="false">IF(L272="CHECK",G272/SUMIFS($F$2:$F$307,$A$2:$A$307,A272,$E$2:$E$307,E272),K272)</f>
        <v>43250</v>
      </c>
      <c r="N272" s="10" t="str">
        <f aca="false">IF(COUNTIF(Parameters!$E$6:$E$13,H272)&gt;0,"Yes","No")</f>
        <v>No</v>
      </c>
      <c r="O272" s="10" t="str">
        <f aca="false">IF(M272&lt;=Parameters!$B$3,IF(COUNTIF(Parameters!$A$6:$A$7,E272)&gt;0,"Vehicles","Out of scope"),IF(COUNTIF(Parameters!$C$6:$C$14,E272)&gt;0,"H&amp;H","Out of scope"))</f>
        <v>H&amp;H</v>
      </c>
      <c r="P272" s="22" t="n">
        <f aca="false">M272*F272</f>
        <v>43250</v>
      </c>
    </row>
    <row r="273" customFormat="false" ht="15" hidden="false" customHeight="false" outlineLevel="0" collapsed="false">
      <c r="A273" s="10" t="s">
        <v>379</v>
      </c>
      <c r="B273" s="21" t="n">
        <v>45987</v>
      </c>
      <c r="C273" s="10" t="s">
        <v>159</v>
      </c>
      <c r="D273" s="10" t="s">
        <v>101</v>
      </c>
      <c r="E273" s="10" t="n">
        <v>8427</v>
      </c>
      <c r="F273" s="22" t="n">
        <v>3</v>
      </c>
      <c r="G273" s="22" t="n">
        <v>88673</v>
      </c>
      <c r="H273" s="10" t="s">
        <v>182</v>
      </c>
      <c r="I273" s="10" t="str">
        <f aca="false">IFERROR(VLOOKUP(E273,Parameters!$G$6:$H$15,2,FALSE()),"")</f>
        <v>Forklift trucks</v>
      </c>
      <c r="J273" s="10" t="str">
        <f aca="false">IFERROR(INDEX(Name_Map!$B$2:$B$102,MATCH(D273,Name_Map!$A$2:$A$102,0)),D273)</f>
        <v>Equinoccio Maquinaria S.A.</v>
      </c>
      <c r="K273" s="22" t="n">
        <f aca="false">IF(F273&gt;0,G273/F273,0)</f>
        <v>29557.6666666667</v>
      </c>
      <c r="L273" s="10" t="str">
        <f aca="false">IF(AND(COUNTIFS($A$2:$A$307,A273,$E$2:$E$307,E273)&gt;1,COUNTIFS($A$2:$A$307,A273,$E$2:$E$307,E273,$G$2:$G$307,G273)=COUNTIFS($A$2:$A$307,A273,$E$2:$E$307,E273)),"CHECK","OK")</f>
        <v>OK</v>
      </c>
      <c r="M273" s="22" t="n">
        <f aca="false">IF(L273="CHECK",G273/SUMIFS($F$2:$F$307,$A$2:$A$307,A273,$E$2:$E$307,E273),K273)</f>
        <v>29557.6666666667</v>
      </c>
      <c r="N273" s="10" t="str">
        <f aca="false">IF(COUNTIF(Parameters!$E$6:$E$13,H273)&gt;0,"Yes","No")</f>
        <v>No</v>
      </c>
      <c r="O273" s="10" t="str">
        <f aca="false">IF(M273&lt;=Parameters!$B$3,IF(COUNTIF(Parameters!$A$6:$A$7,E273)&gt;0,"Vehicles","Out of scope"),IF(COUNTIF(Parameters!$C$6:$C$14,E273)&gt;0,"H&amp;H","Out of scope"))</f>
        <v>H&amp;H</v>
      </c>
      <c r="P273" s="22" t="n">
        <f aca="false">M273*F273</f>
        <v>88673</v>
      </c>
    </row>
    <row r="274" customFormat="false" ht="15" hidden="false" customHeight="false" outlineLevel="0" collapsed="false">
      <c r="A274" s="10" t="s">
        <v>380</v>
      </c>
      <c r="B274" s="21" t="n">
        <v>45991</v>
      </c>
      <c r="C274" s="10" t="s">
        <v>160</v>
      </c>
      <c r="D274" s="10" t="s">
        <v>137</v>
      </c>
      <c r="E274" s="10" t="n">
        <v>8704</v>
      </c>
      <c r="F274" s="22" t="n">
        <v>36</v>
      </c>
      <c r="G274" s="22" t="n">
        <v>164630</v>
      </c>
      <c r="H274" s="10" t="s">
        <v>39</v>
      </c>
      <c r="I274" s="10" t="str">
        <f aca="false">IFERROR(VLOOKUP(E274,Parameters!$G$6:$H$15,2,FALSE()),"")</f>
        <v>Goods vehicles (trucks)</v>
      </c>
      <c r="J274" s="10" t="str">
        <f aca="false">IFERROR(INDEX(Name_Map!$B$2:$B$102,MATCH(D274,Name_Map!$A$2:$A$102,0)),D274)</f>
        <v>Quisqueya Motors S.R.L.</v>
      </c>
      <c r="K274" s="22" t="n">
        <f aca="false">IF(F274&gt;0,G274/F274,0)</f>
        <v>4573.05555555556</v>
      </c>
      <c r="L274" s="10" t="str">
        <f aca="false">IF(AND(COUNTIFS($A$2:$A$307,A274,$E$2:$E$307,E274)&gt;1,COUNTIFS($A$2:$A$307,A274,$E$2:$E$307,E274,$G$2:$G$307,G274)=COUNTIFS($A$2:$A$307,A274,$E$2:$E$307,E274)),"CHECK","OK")</f>
        <v>OK</v>
      </c>
      <c r="M274" s="22" t="n">
        <f aca="false">IF(L274="CHECK",G274/SUMIFS($F$2:$F$307,$A$2:$A$307,A274,$E$2:$E$307,E274),K274)</f>
        <v>4573.05555555556</v>
      </c>
      <c r="N274" s="10" t="str">
        <f aca="false">IF(COUNTIF(Parameters!$E$6:$E$13,H274)&gt;0,"Yes","No")</f>
        <v>Yes</v>
      </c>
      <c r="O274" s="10" t="str">
        <f aca="false">IF(M274&lt;=Parameters!$B$3,IF(COUNTIF(Parameters!$A$6:$A$7,E274)&gt;0,"Vehicles","Out of scope"),IF(COUNTIF(Parameters!$C$6:$C$14,E274)&gt;0,"H&amp;H","Out of scope"))</f>
        <v>Vehicles</v>
      </c>
      <c r="P274" s="22" t="n">
        <f aca="false">M274*F274</f>
        <v>164630</v>
      </c>
    </row>
    <row r="275" customFormat="false" ht="15" hidden="false" customHeight="false" outlineLevel="0" collapsed="false">
      <c r="A275" s="10" t="s">
        <v>381</v>
      </c>
      <c r="B275" s="21" t="n">
        <v>45991</v>
      </c>
      <c r="C275" s="10" t="s">
        <v>159</v>
      </c>
      <c r="D275" s="10" t="s">
        <v>105</v>
      </c>
      <c r="E275" s="10" t="n">
        <v>8429</v>
      </c>
      <c r="F275" s="22" t="n">
        <v>1</v>
      </c>
      <c r="G275" s="22" t="n">
        <v>38017</v>
      </c>
      <c r="H275" s="10" t="s">
        <v>41</v>
      </c>
      <c r="I275" s="10" t="str">
        <f aca="false">IFERROR(VLOOKUP(E275,Parameters!$G$6:$H$15,2,FALSE()),"")</f>
        <v>Bulldozers / excavators / loaders</v>
      </c>
      <c r="J275" s="10" t="str">
        <f aca="false">IFERROR(INDEX(Name_Map!$B$2:$B$102,MATCH(D275,Name_Map!$A$2:$A$102,0)),D275)</f>
        <v>Equinoccio Maquinaria S.A.</v>
      </c>
      <c r="K275" s="22" t="n">
        <f aca="false">IF(F275&gt;0,G275/F275,0)</f>
        <v>38017</v>
      </c>
      <c r="L275" s="10" t="str">
        <f aca="false">IF(AND(COUNTIFS($A$2:$A$307,A275,$E$2:$E$307,E275)&gt;1,COUNTIFS($A$2:$A$307,A275,$E$2:$E$307,E275,$G$2:$G$307,G275)=COUNTIFS($A$2:$A$307,A275,$E$2:$E$307,E275)),"CHECK","OK")</f>
        <v>OK</v>
      </c>
      <c r="M275" s="22" t="n">
        <f aca="false">IF(L275="CHECK",G275/SUMIFS($F$2:$F$307,$A$2:$A$307,A275,$E$2:$E$307,E275),K275)</f>
        <v>38017</v>
      </c>
      <c r="N275" s="10" t="str">
        <f aca="false">IF(COUNTIF(Parameters!$E$6:$E$13,H275)&gt;0,"Yes","No")</f>
        <v>Yes</v>
      </c>
      <c r="O275" s="10" t="str">
        <f aca="false">IF(M275&lt;=Parameters!$B$3,IF(COUNTIF(Parameters!$A$6:$A$7,E275)&gt;0,"Vehicles","Out of scope"),IF(COUNTIF(Parameters!$C$6:$C$14,E275)&gt;0,"H&amp;H","Out of scope"))</f>
        <v>H&amp;H</v>
      </c>
      <c r="P275" s="22" t="n">
        <f aca="false">M275*F275</f>
        <v>38017</v>
      </c>
    </row>
    <row r="276" customFormat="false" ht="15" hidden="false" customHeight="false" outlineLevel="0" collapsed="false">
      <c r="A276" s="10" t="s">
        <v>382</v>
      </c>
      <c r="B276" s="21" t="n">
        <v>45993</v>
      </c>
      <c r="C276" s="10" t="s">
        <v>160</v>
      </c>
      <c r="D276" s="10" t="s">
        <v>142</v>
      </c>
      <c r="E276" s="10" t="n">
        <v>8703</v>
      </c>
      <c r="F276" s="22" t="n">
        <v>30</v>
      </c>
      <c r="G276" s="22" t="n">
        <v>58253</v>
      </c>
      <c r="H276" s="10" t="s">
        <v>29</v>
      </c>
      <c r="I276" s="10" t="str">
        <f aca="false">IFERROR(VLOOKUP(E276,Parameters!$G$6:$H$15,2,FALSE()),"")</f>
        <v>Passenger cars</v>
      </c>
      <c r="J276" s="10" t="str">
        <f aca="false">IFERROR(INDEX(Name_Map!$B$2:$B$102,MATCH(D276,Name_Map!$A$2:$A$102,0)),D276)</f>
        <v>Santo Domingo Autos S.R.L.</v>
      </c>
      <c r="K276" s="22" t="n">
        <f aca="false">IF(F276&gt;0,G276/F276,0)</f>
        <v>1941.76666666667</v>
      </c>
      <c r="L276" s="10" t="str">
        <f aca="false">IF(AND(COUNTIFS($A$2:$A$307,A276,$E$2:$E$307,E276)&gt;1,COUNTIFS($A$2:$A$307,A276,$E$2:$E$307,E276,$G$2:$G$307,G276)=COUNTIFS($A$2:$A$307,A276,$E$2:$E$307,E276)),"CHECK","OK")</f>
        <v>OK</v>
      </c>
      <c r="M276" s="22" t="n">
        <f aca="false">IF(L276="CHECK",G276/SUMIFS($F$2:$F$307,$A$2:$A$307,A276,$E$2:$E$307,E276),K276)</f>
        <v>1941.76666666667</v>
      </c>
      <c r="N276" s="10" t="str">
        <f aca="false">IF(COUNTIF(Parameters!$E$6:$E$13,H276)&gt;0,"Yes","No")</f>
        <v>Yes</v>
      </c>
      <c r="O276" s="10" t="str">
        <f aca="false">IF(M276&lt;=Parameters!$B$3,IF(COUNTIF(Parameters!$A$6:$A$7,E276)&gt;0,"Vehicles","Out of scope"),IF(COUNTIF(Parameters!$C$6:$C$14,E276)&gt;0,"H&amp;H","Out of scope"))</f>
        <v>Vehicles</v>
      </c>
      <c r="P276" s="22" t="n">
        <f aca="false">M276*F276</f>
        <v>58253</v>
      </c>
    </row>
    <row r="277" customFormat="false" ht="15" hidden="false" customHeight="false" outlineLevel="0" collapsed="false">
      <c r="A277" s="10" t="s">
        <v>383</v>
      </c>
      <c r="B277" s="21" t="n">
        <v>45993</v>
      </c>
      <c r="C277" s="10" t="s">
        <v>160</v>
      </c>
      <c r="D277" s="10" t="s">
        <v>87</v>
      </c>
      <c r="E277" s="10" t="n">
        <v>8430</v>
      </c>
      <c r="F277" s="22" t="n">
        <v>3</v>
      </c>
      <c r="G277" s="22" t="n">
        <v>183385</v>
      </c>
      <c r="H277" s="10" t="s">
        <v>41</v>
      </c>
      <c r="I277" s="10" t="str">
        <f aca="false">IFERROR(VLOOKUP(E277,Parameters!$G$6:$H$15,2,FALSE()),"")</f>
        <v>Other earthmoving / drilling machinery</v>
      </c>
      <c r="J277" s="10" t="str">
        <f aca="false">IFERROR(INDEX(Name_Map!$B$2:$B$102,MATCH(D277,Name_Map!$A$2:$A$102,0)),D277)</f>
        <v>Caribbean Freight Express S.R.L.</v>
      </c>
      <c r="K277" s="22" t="n">
        <f aca="false">IF(F277&gt;0,G277/F277,0)</f>
        <v>61128.3333333333</v>
      </c>
      <c r="L277" s="10" t="str">
        <f aca="false">IF(AND(COUNTIFS($A$2:$A$307,A277,$E$2:$E$307,E277)&gt;1,COUNTIFS($A$2:$A$307,A277,$E$2:$E$307,E277,$G$2:$G$307,G277)=COUNTIFS($A$2:$A$307,A277,$E$2:$E$307,E277)),"CHECK","OK")</f>
        <v>OK</v>
      </c>
      <c r="M277" s="22" t="n">
        <f aca="false">IF(L277="CHECK",G277/SUMIFS($F$2:$F$307,$A$2:$A$307,A277,$E$2:$E$307,E277),K277)</f>
        <v>61128.3333333333</v>
      </c>
      <c r="N277" s="10" t="str">
        <f aca="false">IF(COUNTIF(Parameters!$E$6:$E$13,H277)&gt;0,"Yes","No")</f>
        <v>Yes</v>
      </c>
      <c r="O277" s="10" t="str">
        <f aca="false">IF(M277&lt;=Parameters!$B$3,IF(COUNTIF(Parameters!$A$6:$A$7,E277)&gt;0,"Vehicles","Out of scope"),IF(COUNTIF(Parameters!$C$6:$C$14,E277)&gt;0,"H&amp;H","Out of scope"))</f>
        <v>H&amp;H</v>
      </c>
      <c r="P277" s="22" t="n">
        <f aca="false">M277*F277</f>
        <v>183385</v>
      </c>
    </row>
    <row r="278" customFormat="false" ht="15" hidden="false" customHeight="false" outlineLevel="0" collapsed="false">
      <c r="A278" s="10" t="s">
        <v>384</v>
      </c>
      <c r="B278" s="21" t="n">
        <v>45993</v>
      </c>
      <c r="C278" s="10" t="s">
        <v>158</v>
      </c>
      <c r="D278" s="10" t="s">
        <v>119</v>
      </c>
      <c r="E278" s="10" t="n">
        <v>8703</v>
      </c>
      <c r="F278" s="22" t="n">
        <v>27</v>
      </c>
      <c r="G278" s="22" t="n">
        <v>67002</v>
      </c>
      <c r="H278" s="10" t="s">
        <v>193</v>
      </c>
      <c r="I278" s="10" t="str">
        <f aca="false">IFERROR(VLOOKUP(E278,Parameters!$G$6:$H$15,2,FALSE()),"")</f>
        <v>Passenger cars</v>
      </c>
      <c r="J278" s="10" t="str">
        <f aca="false">IFERROR(INDEX(Name_Map!$B$2:$B$102,MATCH(D278,Name_Map!$A$2:$A$102,0)),D278)</f>
        <v>Lima Car Import S.A.C.</v>
      </c>
      <c r="K278" s="22" t="n">
        <f aca="false">IF(F278&gt;0,G278/F278,0)</f>
        <v>2481.55555555556</v>
      </c>
      <c r="L278" s="10" t="str">
        <f aca="false">IF(AND(COUNTIFS($A$2:$A$307,A278,$E$2:$E$307,E278)&gt;1,COUNTIFS($A$2:$A$307,A278,$E$2:$E$307,E278,$G$2:$G$307,G278)=COUNTIFS($A$2:$A$307,A278,$E$2:$E$307,E278)),"CHECK","OK")</f>
        <v>OK</v>
      </c>
      <c r="M278" s="22" t="n">
        <f aca="false">IF(L278="CHECK",G278/SUMIFS($F$2:$F$307,$A$2:$A$307,A278,$E$2:$E$307,E278),K278)</f>
        <v>2481.55555555556</v>
      </c>
      <c r="N278" s="10" t="str">
        <f aca="false">IF(COUNTIF(Parameters!$E$6:$E$13,H278)&gt;0,"Yes","No")</f>
        <v>No</v>
      </c>
      <c r="O278" s="10" t="str">
        <f aca="false">IF(M278&lt;=Parameters!$B$3,IF(COUNTIF(Parameters!$A$6:$A$7,E278)&gt;0,"Vehicles","Out of scope"),IF(COUNTIF(Parameters!$C$6:$C$14,E278)&gt;0,"H&amp;H","Out of scope"))</f>
        <v>Vehicles</v>
      </c>
      <c r="P278" s="22" t="n">
        <f aca="false">M278*F278</f>
        <v>67002</v>
      </c>
    </row>
    <row r="279" customFormat="false" ht="15" hidden="false" customHeight="false" outlineLevel="0" collapsed="false">
      <c r="A279" s="10" t="s">
        <v>385</v>
      </c>
      <c r="B279" s="21" t="n">
        <v>45994</v>
      </c>
      <c r="C279" s="10" t="s">
        <v>156</v>
      </c>
      <c r="D279" s="10" t="s">
        <v>53</v>
      </c>
      <c r="E279" s="10" t="n">
        <v>8427</v>
      </c>
      <c r="F279" s="22" t="n">
        <v>2</v>
      </c>
      <c r="G279" s="22" t="n">
        <v>48192</v>
      </c>
      <c r="H279" s="10" t="s">
        <v>37</v>
      </c>
      <c r="I279" s="10" t="str">
        <f aca="false">IFERROR(VLOOKUP(E279,Parameters!$G$6:$H$15,2,FALSE()),"")</f>
        <v>Forklift trucks</v>
      </c>
      <c r="J279" s="10" t="str">
        <f aca="false">IFERROR(INDEX(Name_Map!$B$2:$B$102,MATCH(D279,Name_Map!$A$2:$A$102,0)),D279)</f>
        <v>Atacama Equipos Mineros S.A.</v>
      </c>
      <c r="K279" s="22" t="n">
        <f aca="false">IF(F279&gt;0,G279/F279,0)</f>
        <v>24096</v>
      </c>
      <c r="L279" s="10" t="str">
        <f aca="false">IF(AND(COUNTIFS($A$2:$A$307,A279,$E$2:$E$307,E279)&gt;1,COUNTIFS($A$2:$A$307,A279,$E$2:$E$307,E279,$G$2:$G$307,G279)=COUNTIFS($A$2:$A$307,A279,$E$2:$E$307,E279)),"CHECK","OK")</f>
        <v>OK</v>
      </c>
      <c r="M279" s="22" t="n">
        <f aca="false">IF(L279="CHECK",G279/SUMIFS($F$2:$F$307,$A$2:$A$307,A279,$E$2:$E$307,E279),K279)</f>
        <v>24096</v>
      </c>
      <c r="N279" s="10" t="str">
        <f aca="false">IF(COUNTIF(Parameters!$E$6:$E$13,H279)&gt;0,"Yes","No")</f>
        <v>Yes</v>
      </c>
      <c r="O279" s="10" t="str">
        <f aca="false">IF(M279&lt;=Parameters!$B$3,IF(COUNTIF(Parameters!$A$6:$A$7,E279)&gt;0,"Vehicles","Out of scope"),IF(COUNTIF(Parameters!$C$6:$C$14,E279)&gt;0,"H&amp;H","Out of scope"))</f>
        <v>H&amp;H</v>
      </c>
      <c r="P279" s="22" t="n">
        <f aca="false">M279*F279</f>
        <v>48192</v>
      </c>
    </row>
    <row r="280" customFormat="false" ht="15" hidden="false" customHeight="false" outlineLevel="0" collapsed="false">
      <c r="A280" s="10" t="s">
        <v>386</v>
      </c>
      <c r="B280" s="21" t="n">
        <v>45994</v>
      </c>
      <c r="C280" s="10" t="s">
        <v>158</v>
      </c>
      <c r="D280" s="10" t="s">
        <v>118</v>
      </c>
      <c r="E280" s="10" t="n">
        <v>8703</v>
      </c>
      <c r="F280" s="22" t="n">
        <v>35</v>
      </c>
      <c r="G280" s="22" t="n">
        <v>66213</v>
      </c>
      <c r="H280" s="10" t="s">
        <v>214</v>
      </c>
      <c r="I280" s="10" t="str">
        <f aca="false">IFERROR(VLOOKUP(E280,Parameters!$G$6:$H$15,2,FALSE()),"")</f>
        <v>Passenger cars</v>
      </c>
      <c r="J280" s="10" t="str">
        <f aca="false">IFERROR(INDEX(Name_Map!$B$2:$B$102,MATCH(D280,Name_Map!$A$2:$A$102,0)),D280)</f>
        <v>Lima Car Import S.A.C.</v>
      </c>
      <c r="K280" s="22" t="n">
        <f aca="false">IF(F280&gt;0,G280/F280,0)</f>
        <v>1891.8</v>
      </c>
      <c r="L280" s="10" t="str">
        <f aca="false">IF(AND(COUNTIFS($A$2:$A$307,A280,$E$2:$E$307,E280)&gt;1,COUNTIFS($A$2:$A$307,A280,$E$2:$E$307,E280,$G$2:$G$307,G280)=COUNTIFS($A$2:$A$307,A280,$E$2:$E$307,E280)),"CHECK","OK")</f>
        <v>OK</v>
      </c>
      <c r="M280" s="22" t="n">
        <f aca="false">IF(L280="CHECK",G280/SUMIFS($F$2:$F$307,$A$2:$A$307,A280,$E$2:$E$307,E280),K280)</f>
        <v>1891.8</v>
      </c>
      <c r="N280" s="10" t="str">
        <f aca="false">IF(COUNTIF(Parameters!$E$6:$E$13,H280)&gt;0,"Yes","No")</f>
        <v>No</v>
      </c>
      <c r="O280" s="10" t="str">
        <f aca="false">IF(M280&lt;=Parameters!$B$3,IF(COUNTIF(Parameters!$A$6:$A$7,E280)&gt;0,"Vehicles","Out of scope"),IF(COUNTIF(Parameters!$C$6:$C$14,E280)&gt;0,"H&amp;H","Out of scope"))</f>
        <v>Vehicles</v>
      </c>
      <c r="P280" s="22" t="n">
        <f aca="false">M280*F280</f>
        <v>66213</v>
      </c>
    </row>
    <row r="281" customFormat="false" ht="15" hidden="false" customHeight="false" outlineLevel="0" collapsed="false">
      <c r="A281" s="10" t="s">
        <v>387</v>
      </c>
      <c r="B281" s="21" t="n">
        <v>45995</v>
      </c>
      <c r="C281" s="10" t="s">
        <v>157</v>
      </c>
      <c r="D281" s="10" t="s">
        <v>67</v>
      </c>
      <c r="E281" s="10" t="n">
        <v>8704</v>
      </c>
      <c r="F281" s="22" t="n">
        <v>21</v>
      </c>
      <c r="G281" s="22" t="n">
        <v>84858</v>
      </c>
      <c r="H281" s="10" t="s">
        <v>37</v>
      </c>
      <c r="I281" s="10" t="str">
        <f aca="false">IFERROR(VLOOKUP(E281,Parameters!$G$6:$H$15,2,FALSE()),"")</f>
        <v>Goods vehicles (trucks)</v>
      </c>
      <c r="J281" s="10" t="str">
        <f aca="false">IFERROR(INDEX(Name_Map!$B$2:$B$102,MATCH(D281,Name_Map!$A$2:$A$102,0)),D281)</f>
        <v>Autonorte Distribuciones S.A.S.</v>
      </c>
      <c r="K281" s="22" t="n">
        <f aca="false">IF(F281&gt;0,G281/F281,0)</f>
        <v>4040.85714285714</v>
      </c>
      <c r="L281" s="10" t="str">
        <f aca="false">IF(AND(COUNTIFS($A$2:$A$307,A281,$E$2:$E$307,E281)&gt;1,COUNTIFS($A$2:$A$307,A281,$E$2:$E$307,E281,$G$2:$G$307,G281)=COUNTIFS($A$2:$A$307,A281,$E$2:$E$307,E281)),"CHECK","OK")</f>
        <v>OK</v>
      </c>
      <c r="M281" s="22" t="n">
        <f aca="false">IF(L281="CHECK",G281/SUMIFS($F$2:$F$307,$A$2:$A$307,A281,$E$2:$E$307,E281),K281)</f>
        <v>4040.85714285714</v>
      </c>
      <c r="N281" s="10" t="str">
        <f aca="false">IF(COUNTIF(Parameters!$E$6:$E$13,H281)&gt;0,"Yes","No")</f>
        <v>Yes</v>
      </c>
      <c r="O281" s="10" t="str">
        <f aca="false">IF(M281&lt;=Parameters!$B$3,IF(COUNTIF(Parameters!$A$6:$A$7,E281)&gt;0,"Vehicles","Out of scope"),IF(COUNTIF(Parameters!$C$6:$C$14,E281)&gt;0,"H&amp;H","Out of scope"))</f>
        <v>Vehicles</v>
      </c>
      <c r="P281" s="22" t="n">
        <f aca="false">M281*F281</f>
        <v>84858</v>
      </c>
    </row>
    <row r="282" customFormat="false" ht="15" hidden="false" customHeight="false" outlineLevel="0" collapsed="false">
      <c r="A282" s="10" t="s">
        <v>388</v>
      </c>
      <c r="B282" s="21" t="n">
        <v>45995</v>
      </c>
      <c r="C282" s="10" t="s">
        <v>158</v>
      </c>
      <c r="D282" s="10" t="s">
        <v>47</v>
      </c>
      <c r="E282" s="10" t="n">
        <v>8701</v>
      </c>
      <c r="F282" s="22" t="n">
        <v>3</v>
      </c>
      <c r="G282" s="22" t="n">
        <v>53074</v>
      </c>
      <c r="H282" s="10" t="s">
        <v>223</v>
      </c>
      <c r="I282" s="10" t="str">
        <f aca="false">IFERROR(VLOOKUP(E282,Parameters!$G$6:$H$15,2,FALSE()),"")</f>
        <v>Tractors</v>
      </c>
      <c r="J282" s="10" t="str">
        <f aca="false">IFERROR(INDEX(Name_Map!$B$2:$B$102,MATCH(D282,Name_Map!$A$2:$A$102,0)),D282)</f>
        <v>Altiplano Trucks S.A.C.</v>
      </c>
      <c r="K282" s="22" t="n">
        <f aca="false">IF(F282&gt;0,G282/F282,0)</f>
        <v>17691.3333333333</v>
      </c>
      <c r="L282" s="10" t="str">
        <f aca="false">IF(AND(COUNTIFS($A$2:$A$307,A282,$E$2:$E$307,E282)&gt;1,COUNTIFS($A$2:$A$307,A282,$E$2:$E$307,E282,$G$2:$G$307,G282)=COUNTIFS($A$2:$A$307,A282,$E$2:$E$307,E282)),"CHECK","OK")</f>
        <v>OK</v>
      </c>
      <c r="M282" s="22" t="n">
        <f aca="false">IF(L282="CHECK",G282/SUMIFS($F$2:$F$307,$A$2:$A$307,A282,$E$2:$E$307,E282),K282)</f>
        <v>17691.3333333333</v>
      </c>
      <c r="N282" s="10" t="str">
        <f aca="false">IF(COUNTIF(Parameters!$E$6:$E$13,H282)&gt;0,"Yes","No")</f>
        <v>No</v>
      </c>
      <c r="O282" s="10" t="str">
        <f aca="false">IF(M282&lt;=Parameters!$B$3,IF(COUNTIF(Parameters!$A$6:$A$7,E282)&gt;0,"Vehicles","Out of scope"),IF(COUNTIF(Parameters!$C$6:$C$14,E282)&gt;0,"H&amp;H","Out of scope"))</f>
        <v>H&amp;H</v>
      </c>
      <c r="P282" s="22" t="n">
        <f aca="false">M282*F282</f>
        <v>53074</v>
      </c>
    </row>
    <row r="283" customFormat="false" ht="15" hidden="false" customHeight="false" outlineLevel="0" collapsed="false">
      <c r="A283" s="10" t="s">
        <v>389</v>
      </c>
      <c r="B283" s="21" t="n">
        <v>45996</v>
      </c>
      <c r="C283" s="10" t="s">
        <v>161</v>
      </c>
      <c r="D283" s="10" t="s">
        <v>73</v>
      </c>
      <c r="E283" s="10" t="n">
        <v>8703</v>
      </c>
      <c r="F283" s="22" t="n">
        <v>36</v>
      </c>
      <c r="G283" s="22" t="n">
        <v>70372</v>
      </c>
      <c r="H283" s="10" t="s">
        <v>223</v>
      </c>
      <c r="I283" s="10" t="str">
        <f aca="false">IFERROR(VLOOKUP(E283,Parameters!$G$6:$H$15,2,FALSE()),"")</f>
        <v>Passenger cars</v>
      </c>
      <c r="J283" s="10" t="str">
        <f aca="false">IFERROR(INDEX(Name_Map!$B$2:$B$102,MATCH(D283,Name_Map!$A$2:$A$102,0)),D283)</f>
        <v>Canal Autos S.A.</v>
      </c>
      <c r="K283" s="22" t="n">
        <f aca="false">IF(F283&gt;0,G283/F283,0)</f>
        <v>1954.77777777778</v>
      </c>
      <c r="L283" s="10" t="str">
        <f aca="false">IF(AND(COUNTIFS($A$2:$A$307,A283,$E$2:$E$307,E283)&gt;1,COUNTIFS($A$2:$A$307,A283,$E$2:$E$307,E283,$G$2:$G$307,G283)=COUNTIFS($A$2:$A$307,A283,$E$2:$E$307,E283)),"CHECK","OK")</f>
        <v>OK</v>
      </c>
      <c r="M283" s="22" t="n">
        <f aca="false">IF(L283="CHECK",G283/SUMIFS($F$2:$F$307,$A$2:$A$307,A283,$E$2:$E$307,E283),K283)</f>
        <v>1954.77777777778</v>
      </c>
      <c r="N283" s="10" t="str">
        <f aca="false">IF(COUNTIF(Parameters!$E$6:$E$13,H283)&gt;0,"Yes","No")</f>
        <v>No</v>
      </c>
      <c r="O283" s="10" t="str">
        <f aca="false">IF(M283&lt;=Parameters!$B$3,IF(COUNTIF(Parameters!$A$6:$A$7,E283)&gt;0,"Vehicles","Out of scope"),IF(COUNTIF(Parameters!$C$6:$C$14,E283)&gt;0,"H&amp;H","Out of scope"))</f>
        <v>Vehicles</v>
      </c>
      <c r="P283" s="22" t="n">
        <f aca="false">M283*F283</f>
        <v>70372</v>
      </c>
    </row>
    <row r="284" customFormat="false" ht="15" hidden="false" customHeight="false" outlineLevel="0" collapsed="false">
      <c r="A284" s="10" t="s">
        <v>390</v>
      </c>
      <c r="B284" s="21" t="n">
        <v>45998</v>
      </c>
      <c r="C284" s="10" t="s">
        <v>157</v>
      </c>
      <c r="D284" s="10" t="s">
        <v>70</v>
      </c>
      <c r="E284" s="10" t="n">
        <v>8704</v>
      </c>
      <c r="F284" s="22" t="n">
        <v>38</v>
      </c>
      <c r="G284" s="22" t="n">
        <v>177270</v>
      </c>
      <c r="H284" s="10" t="s">
        <v>242</v>
      </c>
      <c r="I284" s="10" t="str">
        <f aca="false">IFERROR(VLOOKUP(E284,Parameters!$G$6:$H$15,2,FALSE()),"")</f>
        <v>Goods vehicles (trucks)</v>
      </c>
      <c r="J284" s="10" t="str">
        <f aca="false">IFERROR(INDEX(Name_Map!$B$2:$B$102,MATCH(D284,Name_Map!$A$2:$A$102,0)),D284)</f>
        <v>Bogota Car Import S.A.S.</v>
      </c>
      <c r="K284" s="22" t="n">
        <f aca="false">IF(F284&gt;0,G284/F284,0)</f>
        <v>4665</v>
      </c>
      <c r="L284" s="10" t="str">
        <f aca="false">IF(AND(COUNTIFS($A$2:$A$307,A284,$E$2:$E$307,E284)&gt;1,COUNTIFS($A$2:$A$307,A284,$E$2:$E$307,E284,$G$2:$G$307,G284)=COUNTIFS($A$2:$A$307,A284,$E$2:$E$307,E284)),"CHECK","OK")</f>
        <v>OK</v>
      </c>
      <c r="M284" s="22" t="n">
        <f aca="false">IF(L284="CHECK",G284/SUMIFS($F$2:$F$307,$A$2:$A$307,A284,$E$2:$E$307,E284),K284)</f>
        <v>4665</v>
      </c>
      <c r="N284" s="10" t="str">
        <f aca="false">IF(COUNTIF(Parameters!$E$6:$E$13,H284)&gt;0,"Yes","No")</f>
        <v>No</v>
      </c>
      <c r="O284" s="10" t="str">
        <f aca="false">IF(M284&lt;=Parameters!$B$3,IF(COUNTIF(Parameters!$A$6:$A$7,E284)&gt;0,"Vehicles","Out of scope"),IF(COUNTIF(Parameters!$C$6:$C$14,E284)&gt;0,"H&amp;H","Out of scope"))</f>
        <v>Vehicles</v>
      </c>
      <c r="P284" s="22" t="n">
        <f aca="false">M284*F284</f>
        <v>177270</v>
      </c>
    </row>
    <row r="285" customFormat="false" ht="15" hidden="false" customHeight="false" outlineLevel="0" collapsed="false">
      <c r="A285" s="10" t="s">
        <v>391</v>
      </c>
      <c r="B285" s="21" t="n">
        <v>45999</v>
      </c>
      <c r="C285" s="10" t="s">
        <v>160</v>
      </c>
      <c r="D285" s="10" t="s">
        <v>141</v>
      </c>
      <c r="E285" s="10" t="n">
        <v>8703</v>
      </c>
      <c r="F285" s="22" t="n">
        <v>13</v>
      </c>
      <c r="G285" s="22" t="n">
        <v>24585</v>
      </c>
      <c r="H285" s="10" t="s">
        <v>29</v>
      </c>
      <c r="I285" s="10" t="str">
        <f aca="false">IFERROR(VLOOKUP(E285,Parameters!$G$6:$H$15,2,FALSE()),"")</f>
        <v>Passenger cars</v>
      </c>
      <c r="J285" s="10" t="str">
        <f aca="false">IFERROR(INDEX(Name_Map!$B$2:$B$102,MATCH(D285,Name_Map!$A$2:$A$102,0)),D285)</f>
        <v>Santo Domingo Autos S.R.L.</v>
      </c>
      <c r="K285" s="22" t="n">
        <f aca="false">IF(F285&gt;0,G285/F285,0)</f>
        <v>1891.15384615385</v>
      </c>
      <c r="L285" s="10" t="str">
        <f aca="false">IF(AND(COUNTIFS($A$2:$A$307,A285,$E$2:$E$307,E285)&gt;1,COUNTIFS($A$2:$A$307,A285,$E$2:$E$307,E285,$G$2:$G$307,G285)=COUNTIFS($A$2:$A$307,A285,$E$2:$E$307,E285)),"CHECK","OK")</f>
        <v>OK</v>
      </c>
      <c r="M285" s="22" t="n">
        <f aca="false">IF(L285="CHECK",G285/SUMIFS($F$2:$F$307,$A$2:$A$307,A285,$E$2:$E$307,E285),K285)</f>
        <v>1891.15384615385</v>
      </c>
      <c r="N285" s="10" t="str">
        <f aca="false">IF(COUNTIF(Parameters!$E$6:$E$13,H285)&gt;0,"Yes","No")</f>
        <v>Yes</v>
      </c>
      <c r="O285" s="10" t="str">
        <f aca="false">IF(M285&lt;=Parameters!$B$3,IF(COUNTIF(Parameters!$A$6:$A$7,E285)&gt;0,"Vehicles","Out of scope"),IF(COUNTIF(Parameters!$C$6:$C$14,E285)&gt;0,"H&amp;H","Out of scope"))</f>
        <v>Vehicles</v>
      </c>
      <c r="P285" s="22" t="n">
        <f aca="false">M285*F285</f>
        <v>24585</v>
      </c>
    </row>
    <row r="286" customFormat="false" ht="15" hidden="false" customHeight="false" outlineLevel="0" collapsed="false">
      <c r="A286" s="10" t="s">
        <v>392</v>
      </c>
      <c r="B286" s="21" t="n">
        <v>46000</v>
      </c>
      <c r="C286" s="10" t="s">
        <v>156</v>
      </c>
      <c r="D286" s="10" t="s">
        <v>56</v>
      </c>
      <c r="E286" s="10" t="n">
        <v>8704</v>
      </c>
      <c r="F286" s="22" t="n">
        <v>2</v>
      </c>
      <c r="G286" s="22" t="n">
        <v>34248</v>
      </c>
      <c r="H286" s="10" t="s">
        <v>29</v>
      </c>
      <c r="I286" s="10" t="str">
        <f aca="false">IFERROR(VLOOKUP(E286,Parameters!$G$6:$H$15,2,FALSE()),"")</f>
        <v>Goods vehicles (trucks)</v>
      </c>
      <c r="J286" s="10" t="str">
        <f aca="false">IFERROR(INDEX(Name_Map!$B$2:$B$102,MATCH(D286,Name_Map!$A$2:$A$102,0)),D286)</f>
        <v>Austral Truck Center SpA</v>
      </c>
      <c r="K286" s="22" t="n">
        <f aca="false">IF(F286&gt;0,G286/F286,0)</f>
        <v>17124</v>
      </c>
      <c r="L286" s="10" t="str">
        <f aca="false">IF(AND(COUNTIFS($A$2:$A$307,A286,$E$2:$E$307,E286)&gt;1,COUNTIFS($A$2:$A$307,A286,$E$2:$E$307,E286,$G$2:$G$307,G286)=COUNTIFS($A$2:$A$307,A286,$E$2:$E$307,E286)),"CHECK","OK")</f>
        <v>CHECK</v>
      </c>
      <c r="M286" s="22" t="n">
        <f aca="false">IF(L286="CHECK",G286/SUMIFS($F$2:$F$307,$A$2:$A$307,A286,$E$2:$E$307,E286),K286)</f>
        <v>5708</v>
      </c>
      <c r="N286" s="10" t="str">
        <f aca="false">IF(COUNTIF(Parameters!$E$6:$E$13,H286)&gt;0,"Yes","No")</f>
        <v>Yes</v>
      </c>
      <c r="O286" s="10" t="str">
        <f aca="false">IF(M286&lt;=Parameters!$B$3,IF(COUNTIF(Parameters!$A$6:$A$7,E286)&gt;0,"Vehicles","Out of scope"),IF(COUNTIF(Parameters!$C$6:$C$14,E286)&gt;0,"H&amp;H","Out of scope"))</f>
        <v>Vehicles</v>
      </c>
      <c r="P286" s="22" t="n">
        <f aca="false">M286*F286</f>
        <v>11416</v>
      </c>
    </row>
    <row r="287" customFormat="false" ht="15" hidden="false" customHeight="false" outlineLevel="0" collapsed="false">
      <c r="A287" s="10" t="s">
        <v>392</v>
      </c>
      <c r="B287" s="21" t="n">
        <v>46000</v>
      </c>
      <c r="C287" s="10" t="s">
        <v>156</v>
      </c>
      <c r="D287" s="10" t="s">
        <v>56</v>
      </c>
      <c r="E287" s="10" t="n">
        <v>8704</v>
      </c>
      <c r="F287" s="22" t="n">
        <v>3</v>
      </c>
      <c r="G287" s="22" t="n">
        <v>34248</v>
      </c>
      <c r="H287" s="10" t="s">
        <v>27</v>
      </c>
      <c r="I287" s="10" t="str">
        <f aca="false">IFERROR(VLOOKUP(E287,Parameters!$G$6:$H$15,2,FALSE()),"")</f>
        <v>Goods vehicles (trucks)</v>
      </c>
      <c r="J287" s="10" t="str">
        <f aca="false">IFERROR(INDEX(Name_Map!$B$2:$B$102,MATCH(D287,Name_Map!$A$2:$A$102,0)),D287)</f>
        <v>Austral Truck Center SpA</v>
      </c>
      <c r="K287" s="22" t="n">
        <f aca="false">IF(F287&gt;0,G287/F287,0)</f>
        <v>11416</v>
      </c>
      <c r="L287" s="10" t="str">
        <f aca="false">IF(AND(COUNTIFS($A$2:$A$307,A287,$E$2:$E$307,E287)&gt;1,COUNTIFS($A$2:$A$307,A287,$E$2:$E$307,E287,$G$2:$G$307,G287)=COUNTIFS($A$2:$A$307,A287,$E$2:$E$307,E287)),"CHECK","OK")</f>
        <v>CHECK</v>
      </c>
      <c r="M287" s="22" t="n">
        <f aca="false">IF(L287="CHECK",G287/SUMIFS($F$2:$F$307,$A$2:$A$307,A287,$E$2:$E$307,E287),K287)</f>
        <v>5708</v>
      </c>
      <c r="N287" s="10" t="str">
        <f aca="false">IF(COUNTIF(Parameters!$E$6:$E$13,H287)&gt;0,"Yes","No")</f>
        <v>Yes</v>
      </c>
      <c r="O287" s="10" t="str">
        <f aca="false">IF(M287&lt;=Parameters!$B$3,IF(COUNTIF(Parameters!$A$6:$A$7,E287)&gt;0,"Vehicles","Out of scope"),IF(COUNTIF(Parameters!$C$6:$C$14,E287)&gt;0,"H&amp;H","Out of scope"))</f>
        <v>Vehicles</v>
      </c>
      <c r="P287" s="22" t="n">
        <f aca="false">M287*F287</f>
        <v>17124</v>
      </c>
    </row>
    <row r="288" customFormat="false" ht="15" hidden="false" customHeight="false" outlineLevel="0" collapsed="false">
      <c r="A288" s="10" t="s">
        <v>392</v>
      </c>
      <c r="B288" s="21" t="n">
        <v>46000</v>
      </c>
      <c r="C288" s="10" t="s">
        <v>156</v>
      </c>
      <c r="D288" s="10" t="s">
        <v>56</v>
      </c>
      <c r="E288" s="10" t="n">
        <v>8704</v>
      </c>
      <c r="F288" s="22" t="n">
        <v>1</v>
      </c>
      <c r="G288" s="22" t="n">
        <v>34248</v>
      </c>
      <c r="H288" s="10" t="s">
        <v>33</v>
      </c>
      <c r="I288" s="10" t="str">
        <f aca="false">IFERROR(VLOOKUP(E288,Parameters!$G$6:$H$15,2,FALSE()),"")</f>
        <v>Goods vehicles (trucks)</v>
      </c>
      <c r="J288" s="10" t="str">
        <f aca="false">IFERROR(INDEX(Name_Map!$B$2:$B$102,MATCH(D288,Name_Map!$A$2:$A$102,0)),D288)</f>
        <v>Austral Truck Center SpA</v>
      </c>
      <c r="K288" s="22" t="n">
        <f aca="false">IF(F288&gt;0,G288/F288,0)</f>
        <v>34248</v>
      </c>
      <c r="L288" s="10" t="str">
        <f aca="false">IF(AND(COUNTIFS($A$2:$A$307,A288,$E$2:$E$307,E288)&gt;1,COUNTIFS($A$2:$A$307,A288,$E$2:$E$307,E288,$G$2:$G$307,G288)=COUNTIFS($A$2:$A$307,A288,$E$2:$E$307,E288)),"CHECK","OK")</f>
        <v>CHECK</v>
      </c>
      <c r="M288" s="22" t="n">
        <f aca="false">IF(L288="CHECK",G288/SUMIFS($F$2:$F$307,$A$2:$A$307,A288,$E$2:$E$307,E288),K288)</f>
        <v>5708</v>
      </c>
      <c r="N288" s="10" t="str">
        <f aca="false">IF(COUNTIF(Parameters!$E$6:$E$13,H288)&gt;0,"Yes","No")</f>
        <v>Yes</v>
      </c>
      <c r="O288" s="10" t="str">
        <f aca="false">IF(M288&lt;=Parameters!$B$3,IF(COUNTIF(Parameters!$A$6:$A$7,E288)&gt;0,"Vehicles","Out of scope"),IF(COUNTIF(Parameters!$C$6:$C$14,E288)&gt;0,"H&amp;H","Out of scope"))</f>
        <v>Vehicles</v>
      </c>
      <c r="P288" s="22" t="n">
        <f aca="false">M288*F288</f>
        <v>5708</v>
      </c>
    </row>
    <row r="289" customFormat="false" ht="15" hidden="false" customHeight="false" outlineLevel="0" collapsed="false">
      <c r="A289" s="10" t="s">
        <v>393</v>
      </c>
      <c r="B289" s="21" t="n">
        <v>46000</v>
      </c>
      <c r="C289" s="10" t="s">
        <v>157</v>
      </c>
      <c r="D289" s="10" t="s">
        <v>69</v>
      </c>
      <c r="E289" s="10" t="n">
        <v>8703</v>
      </c>
      <c r="F289" s="22" t="n">
        <v>10</v>
      </c>
      <c r="G289" s="22" t="n">
        <v>24290</v>
      </c>
      <c r="H289" s="10" t="s">
        <v>214</v>
      </c>
      <c r="I289" s="10" t="str">
        <f aca="false">IFERROR(VLOOKUP(E289,Parameters!$G$6:$H$15,2,FALSE()),"")</f>
        <v>Passenger cars</v>
      </c>
      <c r="J289" s="10" t="str">
        <f aca="false">IFERROR(INDEX(Name_Map!$B$2:$B$102,MATCH(D289,Name_Map!$A$2:$A$102,0)),D289)</f>
        <v>Bogota Car Import S.A.S.</v>
      </c>
      <c r="K289" s="22" t="n">
        <f aca="false">IF(F289&gt;0,G289/F289,0)</f>
        <v>2429</v>
      </c>
      <c r="L289" s="10" t="str">
        <f aca="false">IF(AND(COUNTIFS($A$2:$A$307,A289,$E$2:$E$307,E289)&gt;1,COUNTIFS($A$2:$A$307,A289,$E$2:$E$307,E289,$G$2:$G$307,G289)=COUNTIFS($A$2:$A$307,A289,$E$2:$E$307,E289)),"CHECK","OK")</f>
        <v>OK</v>
      </c>
      <c r="M289" s="22" t="n">
        <f aca="false">IF(L289="CHECK",G289/SUMIFS($F$2:$F$307,$A$2:$A$307,A289,$E$2:$E$307,E289),K289)</f>
        <v>2429</v>
      </c>
      <c r="N289" s="10" t="str">
        <f aca="false">IF(COUNTIF(Parameters!$E$6:$E$13,H289)&gt;0,"Yes","No")</f>
        <v>No</v>
      </c>
      <c r="O289" s="10" t="str">
        <f aca="false">IF(M289&lt;=Parameters!$B$3,IF(COUNTIF(Parameters!$A$6:$A$7,E289)&gt;0,"Vehicles","Out of scope"),IF(COUNTIF(Parameters!$C$6:$C$14,E289)&gt;0,"H&amp;H","Out of scope"))</f>
        <v>Vehicles</v>
      </c>
      <c r="P289" s="22" t="n">
        <f aca="false">M289*F289</f>
        <v>24290</v>
      </c>
    </row>
    <row r="290" customFormat="false" ht="15" hidden="false" customHeight="false" outlineLevel="0" collapsed="false">
      <c r="A290" s="10" t="s">
        <v>394</v>
      </c>
      <c r="B290" s="21" t="n">
        <v>46000</v>
      </c>
      <c r="C290" s="10" t="s">
        <v>161</v>
      </c>
      <c r="D290" s="10" t="s">
        <v>74</v>
      </c>
      <c r="E290" s="10" t="n">
        <v>8703</v>
      </c>
      <c r="F290" s="22" t="n">
        <v>2</v>
      </c>
      <c r="G290" s="22" t="n">
        <v>3425</v>
      </c>
      <c r="H290" s="10" t="s">
        <v>31</v>
      </c>
      <c r="I290" s="10" t="str">
        <f aca="false">IFERROR(VLOOKUP(E290,Parameters!$G$6:$H$15,2,FALSE()),"")</f>
        <v>Passenger cars</v>
      </c>
      <c r="J290" s="10" t="str">
        <f aca="false">IFERROR(INDEX(Name_Map!$B$2:$B$102,MATCH(D290,Name_Map!$A$2:$A$102,0)),D290)</f>
        <v>Canal Autos S.A.</v>
      </c>
      <c r="K290" s="22" t="n">
        <f aca="false">IF(F290&gt;0,G290/F290,0)</f>
        <v>1712.5</v>
      </c>
      <c r="L290" s="10" t="str">
        <f aca="false">IF(AND(COUNTIFS($A$2:$A$307,A290,$E$2:$E$307,E290)&gt;1,COUNTIFS($A$2:$A$307,A290,$E$2:$E$307,E290,$G$2:$G$307,G290)=COUNTIFS($A$2:$A$307,A290,$E$2:$E$307,E290)),"CHECK","OK")</f>
        <v>OK</v>
      </c>
      <c r="M290" s="22" t="n">
        <f aca="false">IF(L290="CHECK",G290/SUMIFS($F$2:$F$307,$A$2:$A$307,A290,$E$2:$E$307,E290),K290)</f>
        <v>1712.5</v>
      </c>
      <c r="N290" s="10" t="str">
        <f aca="false">IF(COUNTIF(Parameters!$E$6:$E$13,H290)&gt;0,"Yes","No")</f>
        <v>Yes</v>
      </c>
      <c r="O290" s="10" t="str">
        <f aca="false">IF(M290&lt;=Parameters!$B$3,IF(COUNTIF(Parameters!$A$6:$A$7,E290)&gt;0,"Vehicles","Out of scope"),IF(COUNTIF(Parameters!$C$6:$C$14,E290)&gt;0,"H&amp;H","Out of scope"))</f>
        <v>Vehicles</v>
      </c>
      <c r="P290" s="22" t="n">
        <f aca="false">M290*F290</f>
        <v>3425</v>
      </c>
    </row>
    <row r="291" customFormat="false" ht="15" hidden="false" customHeight="false" outlineLevel="0" collapsed="false">
      <c r="A291" s="10" t="s">
        <v>395</v>
      </c>
      <c r="B291" s="21" t="n">
        <v>46001</v>
      </c>
      <c r="C291" s="10" t="s">
        <v>161</v>
      </c>
      <c r="D291" s="10" t="s">
        <v>91</v>
      </c>
      <c r="E291" s="10" t="n">
        <v>8426</v>
      </c>
      <c r="F291" s="22" t="n">
        <v>1</v>
      </c>
      <c r="G291" s="22" t="n">
        <v>27968</v>
      </c>
      <c r="H291" s="10" t="s">
        <v>41</v>
      </c>
      <c r="I291" s="10" t="str">
        <f aca="false">IFERROR(VLOOKUP(E291,Parameters!$G$6:$H$15,2,FALSE()),"")</f>
        <v>Cranes</v>
      </c>
      <c r="J291" s="10" t="str">
        <f aca="false">IFERROR(INDEX(Name_Map!$B$2:$B$102,MATCH(D291,Name_Map!$A$2:$A$102,0)),D291)</f>
        <v>Chiriqui Agro Machinery S.A.</v>
      </c>
      <c r="K291" s="22" t="n">
        <f aca="false">IF(F291&gt;0,G291/F291,0)</f>
        <v>27968</v>
      </c>
      <c r="L291" s="10" t="str">
        <f aca="false">IF(AND(COUNTIFS($A$2:$A$307,A291,$E$2:$E$307,E291)&gt;1,COUNTIFS($A$2:$A$307,A291,$E$2:$E$307,E291,$G$2:$G$307,G291)=COUNTIFS($A$2:$A$307,A291,$E$2:$E$307,E291)),"CHECK","OK")</f>
        <v>OK</v>
      </c>
      <c r="M291" s="22" t="n">
        <f aca="false">IF(L291="CHECK",G291/SUMIFS($F$2:$F$307,$A$2:$A$307,A291,$E$2:$E$307,E291),K291)</f>
        <v>27968</v>
      </c>
      <c r="N291" s="10" t="str">
        <f aca="false">IF(COUNTIF(Parameters!$E$6:$E$13,H291)&gt;0,"Yes","No")</f>
        <v>Yes</v>
      </c>
      <c r="O291" s="10" t="str">
        <f aca="false">IF(M291&lt;=Parameters!$B$3,IF(COUNTIF(Parameters!$A$6:$A$7,E291)&gt;0,"Vehicles","Out of scope"),IF(COUNTIF(Parameters!$C$6:$C$14,E291)&gt;0,"H&amp;H","Out of scope"))</f>
        <v>H&amp;H</v>
      </c>
      <c r="P291" s="22" t="n">
        <f aca="false">M291*F291</f>
        <v>27968</v>
      </c>
    </row>
    <row r="292" customFormat="false" ht="15" hidden="false" customHeight="false" outlineLevel="0" collapsed="false">
      <c r="A292" s="10" t="s">
        <v>396</v>
      </c>
      <c r="B292" s="21" t="n">
        <v>46002</v>
      </c>
      <c r="C292" s="10" t="s">
        <v>160</v>
      </c>
      <c r="D292" s="10" t="s">
        <v>87</v>
      </c>
      <c r="E292" s="10" t="n">
        <v>8704</v>
      </c>
      <c r="F292" s="22" t="n">
        <v>3</v>
      </c>
      <c r="G292" s="22" t="n">
        <v>125832</v>
      </c>
      <c r="H292" s="10" t="s">
        <v>27</v>
      </c>
      <c r="I292" s="10" t="str">
        <f aca="false">IFERROR(VLOOKUP(E292,Parameters!$G$6:$H$15,2,FALSE()),"")</f>
        <v>Goods vehicles (trucks)</v>
      </c>
      <c r="J292" s="10" t="str">
        <f aca="false">IFERROR(INDEX(Name_Map!$B$2:$B$102,MATCH(D292,Name_Map!$A$2:$A$102,0)),D292)</f>
        <v>Caribbean Freight Express S.R.L.</v>
      </c>
      <c r="K292" s="22" t="n">
        <f aca="false">IF(F292&gt;0,G292/F292,0)</f>
        <v>41944</v>
      </c>
      <c r="L292" s="10" t="str">
        <f aca="false">IF(AND(COUNTIFS($A$2:$A$307,A292,$E$2:$E$307,E292)&gt;1,COUNTIFS($A$2:$A$307,A292,$E$2:$E$307,E292,$G$2:$G$307,G292)=COUNTIFS($A$2:$A$307,A292,$E$2:$E$307,E292)),"CHECK","OK")</f>
        <v>OK</v>
      </c>
      <c r="M292" s="22" t="n">
        <f aca="false">IF(L292="CHECK",G292/SUMIFS($F$2:$F$307,$A$2:$A$307,A292,$E$2:$E$307,E292),K292)</f>
        <v>41944</v>
      </c>
      <c r="N292" s="10" t="str">
        <f aca="false">IF(COUNTIF(Parameters!$E$6:$E$13,H292)&gt;0,"Yes","No")</f>
        <v>Yes</v>
      </c>
      <c r="O292" s="10" t="str">
        <f aca="false">IF(M292&lt;=Parameters!$B$3,IF(COUNTIF(Parameters!$A$6:$A$7,E292)&gt;0,"Vehicles","Out of scope"),IF(COUNTIF(Parameters!$C$6:$C$14,E292)&gt;0,"H&amp;H","Out of scope"))</f>
        <v>H&amp;H</v>
      </c>
      <c r="P292" s="22" t="n">
        <f aca="false">M292*F292</f>
        <v>125832</v>
      </c>
    </row>
    <row r="293" customFormat="false" ht="15" hidden="false" customHeight="false" outlineLevel="0" collapsed="false">
      <c r="A293" s="10" t="s">
        <v>397</v>
      </c>
      <c r="B293" s="21" t="n">
        <v>46003</v>
      </c>
      <c r="C293" s="10" t="s">
        <v>158</v>
      </c>
      <c r="D293" s="10" t="s">
        <v>118</v>
      </c>
      <c r="E293" s="10" t="n">
        <v>8704</v>
      </c>
      <c r="F293" s="22" t="n">
        <v>33</v>
      </c>
      <c r="G293" s="22" t="n">
        <v>308497</v>
      </c>
      <c r="H293" s="10" t="s">
        <v>214</v>
      </c>
      <c r="I293" s="10" t="str">
        <f aca="false">IFERROR(VLOOKUP(E293,Parameters!$G$6:$H$15,2,FALSE()),"")</f>
        <v>Goods vehicles (trucks)</v>
      </c>
      <c r="J293" s="10" t="str">
        <f aca="false">IFERROR(INDEX(Name_Map!$B$2:$B$102,MATCH(D293,Name_Map!$A$2:$A$102,0)),D293)</f>
        <v>Lima Car Import S.A.C.</v>
      </c>
      <c r="K293" s="22" t="n">
        <f aca="false">IF(F293&gt;0,G293/F293,0)</f>
        <v>9348.39393939394</v>
      </c>
      <c r="L293" s="10" t="str">
        <f aca="false">IF(AND(COUNTIFS($A$2:$A$307,A293,$E$2:$E$307,E293)&gt;1,COUNTIFS($A$2:$A$307,A293,$E$2:$E$307,E293,$G$2:$G$307,G293)=COUNTIFS($A$2:$A$307,A293,$E$2:$E$307,E293)),"CHECK","OK")</f>
        <v>OK</v>
      </c>
      <c r="M293" s="22" t="n">
        <f aca="false">IF(L293="CHECK",G293/SUMIFS($F$2:$F$307,$A$2:$A$307,A293,$E$2:$E$307,E293),K293)</f>
        <v>9348.39393939394</v>
      </c>
      <c r="N293" s="10" t="str">
        <f aca="false">IF(COUNTIF(Parameters!$E$6:$E$13,H293)&gt;0,"Yes","No")</f>
        <v>No</v>
      </c>
      <c r="O293" s="10" t="str">
        <f aca="false">IF(M293&lt;=Parameters!$B$3,IF(COUNTIF(Parameters!$A$6:$A$7,E293)&gt;0,"Vehicles","Out of scope"),IF(COUNTIF(Parameters!$C$6:$C$14,E293)&gt;0,"H&amp;H","Out of scope"))</f>
        <v>Vehicles</v>
      </c>
      <c r="P293" s="22" t="n">
        <f aca="false">M293*F293</f>
        <v>308497</v>
      </c>
    </row>
    <row r="294" customFormat="false" ht="15" hidden="false" customHeight="false" outlineLevel="0" collapsed="false">
      <c r="A294" s="10" t="s">
        <v>397</v>
      </c>
      <c r="B294" s="21" t="n">
        <v>46003</v>
      </c>
      <c r="C294" s="10" t="s">
        <v>158</v>
      </c>
      <c r="D294" s="10" t="s">
        <v>118</v>
      </c>
      <c r="E294" s="10" t="n">
        <v>8703</v>
      </c>
      <c r="F294" s="22" t="n">
        <v>17</v>
      </c>
      <c r="G294" s="22" t="n">
        <v>41550</v>
      </c>
      <c r="H294" s="10" t="s">
        <v>214</v>
      </c>
      <c r="I294" s="10" t="str">
        <f aca="false">IFERROR(VLOOKUP(E294,Parameters!$G$6:$H$15,2,FALSE()),"")</f>
        <v>Passenger cars</v>
      </c>
      <c r="J294" s="10" t="str">
        <f aca="false">IFERROR(INDEX(Name_Map!$B$2:$B$102,MATCH(D294,Name_Map!$A$2:$A$102,0)),D294)</f>
        <v>Lima Car Import S.A.C.</v>
      </c>
      <c r="K294" s="22" t="n">
        <f aca="false">IF(F294&gt;0,G294/F294,0)</f>
        <v>2444.11764705882</v>
      </c>
      <c r="L294" s="10" t="str">
        <f aca="false">IF(AND(COUNTIFS($A$2:$A$307,A294,$E$2:$E$307,E294)&gt;1,COUNTIFS($A$2:$A$307,A294,$E$2:$E$307,E294,$G$2:$G$307,G294)=COUNTIFS($A$2:$A$307,A294,$E$2:$E$307,E294)),"CHECK","OK")</f>
        <v>OK</v>
      </c>
      <c r="M294" s="22" t="n">
        <f aca="false">IF(L294="CHECK",G294/SUMIFS($F$2:$F$307,$A$2:$A$307,A294,$E$2:$E$307,E294),K294)</f>
        <v>2444.11764705882</v>
      </c>
      <c r="N294" s="10" t="str">
        <f aca="false">IF(COUNTIF(Parameters!$E$6:$E$13,H294)&gt;0,"Yes","No")</f>
        <v>No</v>
      </c>
      <c r="O294" s="10" t="str">
        <f aca="false">IF(M294&lt;=Parameters!$B$3,IF(COUNTIF(Parameters!$A$6:$A$7,E294)&gt;0,"Vehicles","Out of scope"),IF(COUNTIF(Parameters!$C$6:$C$14,E294)&gt;0,"H&amp;H","Out of scope"))</f>
        <v>Vehicles</v>
      </c>
      <c r="P294" s="22" t="n">
        <f aca="false">M294*F294</f>
        <v>41550</v>
      </c>
    </row>
    <row r="295" customFormat="false" ht="15" hidden="false" customHeight="false" outlineLevel="0" collapsed="false">
      <c r="A295" s="10" t="s">
        <v>398</v>
      </c>
      <c r="B295" s="21" t="n">
        <v>46004</v>
      </c>
      <c r="C295" s="10" t="s">
        <v>157</v>
      </c>
      <c r="D295" s="10" t="s">
        <v>121</v>
      </c>
      <c r="E295" s="10" t="n">
        <v>8705</v>
      </c>
      <c r="F295" s="22" t="n">
        <v>1</v>
      </c>
      <c r="G295" s="22" t="n">
        <v>56695</v>
      </c>
      <c r="H295" s="10" t="s">
        <v>214</v>
      </c>
      <c r="I295" s="10" t="str">
        <f aca="false">IFERROR(VLOOKUP(E295,Parameters!$G$6:$H$15,2,FALSE()),"")</f>
        <v>Special-purpose vehicles</v>
      </c>
      <c r="J295" s="10" t="str">
        <f aca="false">IFERROR(INDEX(Name_Map!$B$2:$B$102,MATCH(D295,Name_Map!$A$2:$A$102,0)),D295)</f>
        <v>Llanos Agro Equipos S.A.S.</v>
      </c>
      <c r="K295" s="22" t="n">
        <f aca="false">IF(F295&gt;0,G295/F295,0)</f>
        <v>56695</v>
      </c>
      <c r="L295" s="10" t="str">
        <f aca="false">IF(AND(COUNTIFS($A$2:$A$307,A295,$E$2:$E$307,E295)&gt;1,COUNTIFS($A$2:$A$307,A295,$E$2:$E$307,E295,$G$2:$G$307,G295)=COUNTIFS($A$2:$A$307,A295,$E$2:$E$307,E295)),"CHECK","OK")</f>
        <v>OK</v>
      </c>
      <c r="M295" s="22" t="n">
        <f aca="false">IF(L295="CHECK",G295/SUMIFS($F$2:$F$307,$A$2:$A$307,A295,$E$2:$E$307,E295),K295)</f>
        <v>56695</v>
      </c>
      <c r="N295" s="10" t="str">
        <f aca="false">IF(COUNTIF(Parameters!$E$6:$E$13,H295)&gt;0,"Yes","No")</f>
        <v>No</v>
      </c>
      <c r="O295" s="10" t="str">
        <f aca="false">IF(M295&lt;=Parameters!$B$3,IF(COUNTIF(Parameters!$A$6:$A$7,E295)&gt;0,"Vehicles","Out of scope"),IF(COUNTIF(Parameters!$C$6:$C$14,E295)&gt;0,"H&amp;H","Out of scope"))</f>
        <v>H&amp;H</v>
      </c>
      <c r="P295" s="22" t="n">
        <f aca="false">M295*F295</f>
        <v>56695</v>
      </c>
    </row>
    <row r="296" customFormat="false" ht="15" hidden="false" customHeight="false" outlineLevel="0" collapsed="false">
      <c r="A296" s="10" t="s">
        <v>398</v>
      </c>
      <c r="B296" s="21" t="n">
        <v>46004</v>
      </c>
      <c r="C296" s="10" t="s">
        <v>157</v>
      </c>
      <c r="D296" s="10" t="s">
        <v>124</v>
      </c>
      <c r="E296" s="10" t="n">
        <v>8426</v>
      </c>
      <c r="F296" s="22" t="n">
        <v>1</v>
      </c>
      <c r="G296" s="22" t="n">
        <v>52632</v>
      </c>
      <c r="H296" s="10" t="s">
        <v>214</v>
      </c>
      <c r="I296" s="10" t="str">
        <f aca="false">IFERROR(VLOOKUP(E296,Parameters!$G$6:$H$15,2,FALSE()),"")</f>
        <v>Cranes</v>
      </c>
      <c r="J296" s="10" t="str">
        <f aca="false">IFERROR(INDEX(Name_Map!$B$2:$B$102,MATCH(D296,Name_Map!$A$2:$A$102,0)),D296)</f>
        <v>Llanos Agro Equipos S.A.S.</v>
      </c>
      <c r="K296" s="22" t="n">
        <f aca="false">IF(F296&gt;0,G296/F296,0)</f>
        <v>52632</v>
      </c>
      <c r="L296" s="10" t="str">
        <f aca="false">IF(AND(COUNTIFS($A$2:$A$307,A296,$E$2:$E$307,E296)&gt;1,COUNTIFS($A$2:$A$307,A296,$E$2:$E$307,E296,$G$2:$G$307,G296)=COUNTIFS($A$2:$A$307,A296,$E$2:$E$307,E296)),"CHECK","OK")</f>
        <v>OK</v>
      </c>
      <c r="M296" s="22" t="n">
        <f aca="false">IF(L296="CHECK",G296/SUMIFS($F$2:$F$307,$A$2:$A$307,A296,$E$2:$E$307,E296),K296)</f>
        <v>52632</v>
      </c>
      <c r="N296" s="10" t="str">
        <f aca="false">IF(COUNTIF(Parameters!$E$6:$E$13,H296)&gt;0,"Yes","No")</f>
        <v>No</v>
      </c>
      <c r="O296" s="10" t="str">
        <f aca="false">IF(M296&lt;=Parameters!$B$3,IF(COUNTIF(Parameters!$A$6:$A$7,E296)&gt;0,"Vehicles","Out of scope"),IF(COUNTIF(Parameters!$C$6:$C$14,E296)&gt;0,"H&amp;H","Out of scope"))</f>
        <v>H&amp;H</v>
      </c>
      <c r="P296" s="22" t="n">
        <f aca="false">M296*F296</f>
        <v>52632</v>
      </c>
    </row>
    <row r="297" customFormat="false" ht="15" hidden="false" customHeight="false" outlineLevel="0" collapsed="false">
      <c r="A297" s="10" t="s">
        <v>399</v>
      </c>
      <c r="B297" s="21" t="n">
        <v>46004</v>
      </c>
      <c r="C297" s="10" t="s">
        <v>160</v>
      </c>
      <c r="D297" s="10" t="s">
        <v>78</v>
      </c>
      <c r="E297" s="10" t="n">
        <v>8426</v>
      </c>
      <c r="F297" s="22" t="n">
        <v>1</v>
      </c>
      <c r="G297" s="22" t="n">
        <v>20735</v>
      </c>
      <c r="H297" s="10" t="s">
        <v>39</v>
      </c>
      <c r="I297" s="10" t="str">
        <f aca="false">IFERROR(VLOOKUP(E297,Parameters!$G$6:$H$15,2,FALSE()),"")</f>
        <v>Cranes</v>
      </c>
      <c r="J297" s="10" t="str">
        <f aca="false">IFERROR(INDEX(Name_Map!$B$2:$B$102,MATCH(D297,Name_Map!$A$2:$A$102,0)),D297)</f>
        <v>Cibao Equipos S.R.L.</v>
      </c>
      <c r="K297" s="22" t="n">
        <f aca="false">IF(F297&gt;0,G297/F297,0)</f>
        <v>20735</v>
      </c>
      <c r="L297" s="10" t="str">
        <f aca="false">IF(AND(COUNTIFS($A$2:$A$307,A297,$E$2:$E$307,E297)&gt;1,COUNTIFS($A$2:$A$307,A297,$E$2:$E$307,E297,$G$2:$G$307,G297)=COUNTIFS($A$2:$A$307,A297,$E$2:$E$307,E297)),"CHECK","OK")</f>
        <v>OK</v>
      </c>
      <c r="M297" s="22" t="n">
        <f aca="false">IF(L297="CHECK",G297/SUMIFS($F$2:$F$307,$A$2:$A$307,A297,$E$2:$E$307,E297),K297)</f>
        <v>20735</v>
      </c>
      <c r="N297" s="10" t="str">
        <f aca="false">IF(COUNTIF(Parameters!$E$6:$E$13,H297)&gt;0,"Yes","No")</f>
        <v>Yes</v>
      </c>
      <c r="O297" s="10" t="str">
        <f aca="false">IF(M297&lt;=Parameters!$B$3,IF(COUNTIF(Parameters!$A$6:$A$7,E297)&gt;0,"Vehicles","Out of scope"),IF(COUNTIF(Parameters!$C$6:$C$14,E297)&gt;0,"H&amp;H","Out of scope"))</f>
        <v>H&amp;H</v>
      </c>
      <c r="P297" s="22" t="n">
        <f aca="false">M297*F297</f>
        <v>20735</v>
      </c>
    </row>
    <row r="298" customFormat="false" ht="15" hidden="false" customHeight="false" outlineLevel="0" collapsed="false">
      <c r="A298" s="10" t="s">
        <v>400</v>
      </c>
      <c r="B298" s="21" t="n">
        <v>46005</v>
      </c>
      <c r="C298" s="10" t="s">
        <v>159</v>
      </c>
      <c r="D298" s="10" t="s">
        <v>99</v>
      </c>
      <c r="E298" s="10" t="n">
        <v>8703</v>
      </c>
      <c r="F298" s="22" t="n">
        <v>40</v>
      </c>
      <c r="G298" s="22" t="n">
        <v>50518</v>
      </c>
      <c r="H298" s="10" t="s">
        <v>35</v>
      </c>
      <c r="I298" s="10" t="str">
        <f aca="false">IFERROR(VLOOKUP(E298,Parameters!$G$6:$H$15,2,FALSE()),"")</f>
        <v>Passenger cars</v>
      </c>
      <c r="J298" s="10" t="str">
        <f aca="false">IFERROR(INDEX(Name_Map!$B$2:$B$102,MATCH(D298,Name_Map!$A$2:$A$102,0)),D298)</f>
        <v>Ecuamotors Cia. Ltda.</v>
      </c>
      <c r="K298" s="22" t="n">
        <f aca="false">IF(F298&gt;0,G298/F298,0)</f>
        <v>1262.95</v>
      </c>
      <c r="L298" s="10" t="str">
        <f aca="false">IF(AND(COUNTIFS($A$2:$A$307,A298,$E$2:$E$307,E298)&gt;1,COUNTIFS($A$2:$A$307,A298,$E$2:$E$307,E298,$G$2:$G$307,G298)=COUNTIFS($A$2:$A$307,A298,$E$2:$E$307,E298)),"CHECK","OK")</f>
        <v>OK</v>
      </c>
      <c r="M298" s="22" t="n">
        <f aca="false">IF(L298="CHECK",G298/SUMIFS($F$2:$F$307,$A$2:$A$307,A298,$E$2:$E$307,E298),K298)</f>
        <v>1262.95</v>
      </c>
      <c r="N298" s="10" t="str">
        <f aca="false">IF(COUNTIF(Parameters!$E$6:$E$13,H298)&gt;0,"Yes","No")</f>
        <v>Yes</v>
      </c>
      <c r="O298" s="10" t="str">
        <f aca="false">IF(M298&lt;=Parameters!$B$3,IF(COUNTIF(Parameters!$A$6:$A$7,E298)&gt;0,"Vehicles","Out of scope"),IF(COUNTIF(Parameters!$C$6:$C$14,E298)&gt;0,"H&amp;H","Out of scope"))</f>
        <v>Vehicles</v>
      </c>
      <c r="P298" s="22" t="n">
        <f aca="false">M298*F298</f>
        <v>50518</v>
      </c>
    </row>
    <row r="299" customFormat="false" ht="15" hidden="false" customHeight="false" outlineLevel="0" collapsed="false">
      <c r="A299" s="10" t="s">
        <v>401</v>
      </c>
      <c r="B299" s="21" t="n">
        <v>46007</v>
      </c>
      <c r="C299" s="10" t="s">
        <v>158</v>
      </c>
      <c r="D299" s="10" t="s">
        <v>111</v>
      </c>
      <c r="E299" s="10" t="n">
        <v>8704</v>
      </c>
      <c r="F299" s="22" t="n">
        <v>18</v>
      </c>
      <c r="G299" s="22" t="n">
        <v>107353</v>
      </c>
      <c r="H299" s="10" t="s">
        <v>31</v>
      </c>
      <c r="I299" s="10" t="str">
        <f aca="false">IFERROR(VLOOKUP(E299,Parameters!$G$6:$H$15,2,FALSE()),"")</f>
        <v>Goods vehicles (trucks)</v>
      </c>
      <c r="J299" s="10" t="str">
        <f aca="false">IFERROR(INDEX(Name_Map!$B$2:$B$102,MATCH(D299,Name_Map!$A$2:$A$102,0)),D299)</f>
        <v>Inca Automotriz S.A.C.</v>
      </c>
      <c r="K299" s="22" t="n">
        <f aca="false">IF(F299&gt;0,G299/F299,0)</f>
        <v>5964.05555555556</v>
      </c>
      <c r="L299" s="10" t="str">
        <f aca="false">IF(AND(COUNTIFS($A$2:$A$307,A299,$E$2:$E$307,E299)&gt;1,COUNTIFS($A$2:$A$307,A299,$E$2:$E$307,E299,$G$2:$G$307,G299)=COUNTIFS($A$2:$A$307,A299,$E$2:$E$307,E299)),"CHECK","OK")</f>
        <v>OK</v>
      </c>
      <c r="M299" s="22" t="n">
        <f aca="false">IF(L299="CHECK",G299/SUMIFS($F$2:$F$307,$A$2:$A$307,A299,$E$2:$E$307,E299),K299)</f>
        <v>5964.05555555556</v>
      </c>
      <c r="N299" s="10" t="str">
        <f aca="false">IF(COUNTIF(Parameters!$E$6:$E$13,H299)&gt;0,"Yes","No")</f>
        <v>Yes</v>
      </c>
      <c r="O299" s="10" t="str">
        <f aca="false">IF(M299&lt;=Parameters!$B$3,IF(COUNTIF(Parameters!$A$6:$A$7,E299)&gt;0,"Vehicles","Out of scope"),IF(COUNTIF(Parameters!$C$6:$C$14,E299)&gt;0,"H&amp;H","Out of scope"))</f>
        <v>Vehicles</v>
      </c>
      <c r="P299" s="22" t="n">
        <f aca="false">M299*F299</f>
        <v>107353</v>
      </c>
    </row>
    <row r="300" customFormat="false" ht="15" hidden="false" customHeight="false" outlineLevel="0" collapsed="false">
      <c r="A300" s="10" t="s">
        <v>402</v>
      </c>
      <c r="B300" s="21" t="n">
        <v>46009</v>
      </c>
      <c r="C300" s="10" t="s">
        <v>157</v>
      </c>
      <c r="D300" s="10" t="s">
        <v>70</v>
      </c>
      <c r="E300" s="10" t="n">
        <v>8703</v>
      </c>
      <c r="F300" s="22" t="n">
        <v>25</v>
      </c>
      <c r="G300" s="22" t="n">
        <v>50910</v>
      </c>
      <c r="H300" s="10" t="s">
        <v>242</v>
      </c>
      <c r="I300" s="10" t="str">
        <f aca="false">IFERROR(VLOOKUP(E300,Parameters!$G$6:$H$15,2,FALSE()),"")</f>
        <v>Passenger cars</v>
      </c>
      <c r="J300" s="10" t="str">
        <f aca="false">IFERROR(INDEX(Name_Map!$B$2:$B$102,MATCH(D300,Name_Map!$A$2:$A$102,0)),D300)</f>
        <v>Bogota Car Import S.A.S.</v>
      </c>
      <c r="K300" s="22" t="n">
        <f aca="false">IF(F300&gt;0,G300/F300,0)</f>
        <v>2036.4</v>
      </c>
      <c r="L300" s="10" t="str">
        <f aca="false">IF(AND(COUNTIFS($A$2:$A$307,A300,$E$2:$E$307,E300)&gt;1,COUNTIFS($A$2:$A$307,A300,$E$2:$E$307,E300,$G$2:$G$307,G300)=COUNTIFS($A$2:$A$307,A300,$E$2:$E$307,E300)),"CHECK","OK")</f>
        <v>OK</v>
      </c>
      <c r="M300" s="22" t="n">
        <f aca="false">IF(L300="CHECK",G300/SUMIFS($F$2:$F$307,$A$2:$A$307,A300,$E$2:$E$307,E300),K300)</f>
        <v>2036.4</v>
      </c>
      <c r="N300" s="10" t="str">
        <f aca="false">IF(COUNTIF(Parameters!$E$6:$E$13,H300)&gt;0,"Yes","No")</f>
        <v>No</v>
      </c>
      <c r="O300" s="10" t="str">
        <f aca="false">IF(M300&lt;=Parameters!$B$3,IF(COUNTIF(Parameters!$A$6:$A$7,E300)&gt;0,"Vehicles","Out of scope"),IF(COUNTIF(Parameters!$C$6:$C$14,E300)&gt;0,"H&amp;H","Out of scope"))</f>
        <v>Vehicles</v>
      </c>
      <c r="P300" s="22" t="n">
        <f aca="false">M300*F300</f>
        <v>50910</v>
      </c>
    </row>
    <row r="301" customFormat="false" ht="15" hidden="false" customHeight="false" outlineLevel="0" collapsed="false">
      <c r="A301" s="10" t="s">
        <v>402</v>
      </c>
      <c r="B301" s="21" t="n">
        <v>46009</v>
      </c>
      <c r="C301" s="10" t="s">
        <v>157</v>
      </c>
      <c r="D301" s="10" t="s">
        <v>71</v>
      </c>
      <c r="E301" s="10" t="n">
        <v>8703</v>
      </c>
      <c r="F301" s="22" t="n">
        <v>22</v>
      </c>
      <c r="G301" s="22" t="n">
        <v>55214</v>
      </c>
      <c r="H301" s="10" t="s">
        <v>242</v>
      </c>
      <c r="I301" s="10" t="str">
        <f aca="false">IFERROR(VLOOKUP(E301,Parameters!$G$6:$H$15,2,FALSE()),"")</f>
        <v>Passenger cars</v>
      </c>
      <c r="J301" s="10" t="str">
        <f aca="false">IFERROR(INDEX(Name_Map!$B$2:$B$102,MATCH(D301,Name_Map!$A$2:$A$102,0)),D301)</f>
        <v>Bogota Car Import S.A.S.</v>
      </c>
      <c r="K301" s="22" t="n">
        <f aca="false">IF(F301&gt;0,G301/F301,0)</f>
        <v>2509.72727272727</v>
      </c>
      <c r="L301" s="10" t="str">
        <f aca="false">IF(AND(COUNTIFS($A$2:$A$307,A301,$E$2:$E$307,E301)&gt;1,COUNTIFS($A$2:$A$307,A301,$E$2:$E$307,E301,$G$2:$G$307,G301)=COUNTIFS($A$2:$A$307,A301,$E$2:$E$307,E301)),"CHECK","OK")</f>
        <v>OK</v>
      </c>
      <c r="M301" s="22" t="n">
        <f aca="false">IF(L301="CHECK",G301/SUMIFS($F$2:$F$307,$A$2:$A$307,A301,$E$2:$E$307,E301),K301)</f>
        <v>2509.72727272727</v>
      </c>
      <c r="N301" s="10" t="str">
        <f aca="false">IF(COUNTIF(Parameters!$E$6:$E$13,H301)&gt;0,"Yes","No")</f>
        <v>No</v>
      </c>
      <c r="O301" s="10" t="str">
        <f aca="false">IF(M301&lt;=Parameters!$B$3,IF(COUNTIF(Parameters!$A$6:$A$7,E301)&gt;0,"Vehicles","Out of scope"),IF(COUNTIF(Parameters!$C$6:$C$14,E301)&gt;0,"H&amp;H","Out of scope"))</f>
        <v>Vehicles</v>
      </c>
      <c r="P301" s="22" t="n">
        <f aca="false">M301*F301</f>
        <v>55214</v>
      </c>
    </row>
    <row r="302" customFormat="false" ht="15" hidden="false" customHeight="false" outlineLevel="0" collapsed="false">
      <c r="A302" s="10" t="s">
        <v>403</v>
      </c>
      <c r="B302" s="21" t="n">
        <v>46014</v>
      </c>
      <c r="C302" s="10" t="s">
        <v>161</v>
      </c>
      <c r="D302" s="10" t="s">
        <v>133</v>
      </c>
      <c r="E302" s="10" t="n">
        <v>8429</v>
      </c>
      <c r="F302" s="22" t="n">
        <v>4</v>
      </c>
      <c r="G302" s="22" t="n">
        <v>186781</v>
      </c>
      <c r="H302" s="10" t="s">
        <v>29</v>
      </c>
      <c r="I302" s="10" t="str">
        <f aca="false">IFERROR(VLOOKUP(E302,Parameters!$G$6:$H$15,2,FALSE()),"")</f>
        <v>Bulldozers / excavators / loaders</v>
      </c>
      <c r="J302" s="10" t="str">
        <f aca="false">IFERROR(INDEX(Name_Map!$B$2:$B$102,MATCH(D302,Name_Map!$A$2:$A$102,0)),D302)</f>
        <v>Pacific Bridge Equipment Inc.</v>
      </c>
      <c r="K302" s="22" t="n">
        <f aca="false">IF(F302&gt;0,G302/F302,0)</f>
        <v>46695.25</v>
      </c>
      <c r="L302" s="10" t="str">
        <f aca="false">IF(AND(COUNTIFS($A$2:$A$307,A302,$E$2:$E$307,E302)&gt;1,COUNTIFS($A$2:$A$307,A302,$E$2:$E$307,E302,$G$2:$G$307,G302)=COUNTIFS($A$2:$A$307,A302,$E$2:$E$307,E302)),"CHECK","OK")</f>
        <v>OK</v>
      </c>
      <c r="M302" s="22" t="n">
        <f aca="false">IF(L302="CHECK",G302/SUMIFS($F$2:$F$307,$A$2:$A$307,A302,$E$2:$E$307,E302),K302)</f>
        <v>46695.25</v>
      </c>
      <c r="N302" s="10" t="str">
        <f aca="false">IF(COUNTIF(Parameters!$E$6:$E$13,H302)&gt;0,"Yes","No")</f>
        <v>Yes</v>
      </c>
      <c r="O302" s="10" t="str">
        <f aca="false">IF(M302&lt;=Parameters!$B$3,IF(COUNTIF(Parameters!$A$6:$A$7,E302)&gt;0,"Vehicles","Out of scope"),IF(COUNTIF(Parameters!$C$6:$C$14,E302)&gt;0,"H&amp;H","Out of scope"))</f>
        <v>H&amp;H</v>
      </c>
      <c r="P302" s="22" t="n">
        <f aca="false">M302*F302</f>
        <v>186781</v>
      </c>
    </row>
    <row r="303" customFormat="false" ht="15" hidden="false" customHeight="false" outlineLevel="0" collapsed="false">
      <c r="A303" s="10" t="s">
        <v>404</v>
      </c>
      <c r="B303" s="21" t="n">
        <v>46017</v>
      </c>
      <c r="C303" s="10" t="s">
        <v>157</v>
      </c>
      <c r="D303" s="10" t="s">
        <v>126</v>
      </c>
      <c r="E303" s="10" t="n">
        <v>8705</v>
      </c>
      <c r="F303" s="22" t="n">
        <v>1</v>
      </c>
      <c r="G303" s="22" t="n">
        <v>42165</v>
      </c>
      <c r="H303" s="10" t="s">
        <v>186</v>
      </c>
      <c r="I303" s="10" t="str">
        <f aca="false">IFERROR(VLOOKUP(E303,Parameters!$G$6:$H$15,2,FALSE()),"")</f>
        <v>Special-purpose vehicles</v>
      </c>
      <c r="J303" s="10" t="str">
        <f aca="false">IFERROR(INDEX(Name_Map!$B$2:$B$102,MATCH(D303,Name_Map!$A$2:$A$102,0)),D303)</f>
        <v>Maquinaria Andina S.A.S.</v>
      </c>
      <c r="K303" s="22" t="n">
        <f aca="false">IF(F303&gt;0,G303/F303,0)</f>
        <v>42165</v>
      </c>
      <c r="L303" s="10" t="str">
        <f aca="false">IF(AND(COUNTIFS($A$2:$A$307,A303,$E$2:$E$307,E303)&gt;1,COUNTIFS($A$2:$A$307,A303,$E$2:$E$307,E303,$G$2:$G$307,G303)=COUNTIFS($A$2:$A$307,A303,$E$2:$E$307,E303)),"CHECK","OK")</f>
        <v>OK</v>
      </c>
      <c r="M303" s="22" t="n">
        <f aca="false">IF(L303="CHECK",G303/SUMIFS($F$2:$F$307,$A$2:$A$307,A303,$E$2:$E$307,E303),K303)</f>
        <v>42165</v>
      </c>
      <c r="N303" s="10" t="str">
        <f aca="false">IF(COUNTIF(Parameters!$E$6:$E$13,H303)&gt;0,"Yes","No")</f>
        <v>No</v>
      </c>
      <c r="O303" s="10" t="str">
        <f aca="false">IF(M303&lt;=Parameters!$B$3,IF(COUNTIF(Parameters!$A$6:$A$7,E303)&gt;0,"Vehicles","Out of scope"),IF(COUNTIF(Parameters!$C$6:$C$14,E303)&gt;0,"H&amp;H","Out of scope"))</f>
        <v>H&amp;H</v>
      </c>
      <c r="P303" s="22" t="n">
        <f aca="false">M303*F303</f>
        <v>42165</v>
      </c>
    </row>
    <row r="304" customFormat="false" ht="15" hidden="false" customHeight="false" outlineLevel="0" collapsed="false">
      <c r="A304" s="10" t="s">
        <v>404</v>
      </c>
      <c r="B304" s="21" t="n">
        <v>46017</v>
      </c>
      <c r="C304" s="10" t="s">
        <v>157</v>
      </c>
      <c r="D304" s="10" t="s">
        <v>126</v>
      </c>
      <c r="E304" s="10" t="n">
        <v>8429</v>
      </c>
      <c r="F304" s="22" t="n">
        <v>4</v>
      </c>
      <c r="G304" s="22" t="n">
        <v>66548</v>
      </c>
      <c r="H304" s="10" t="s">
        <v>186</v>
      </c>
      <c r="I304" s="10" t="str">
        <f aca="false">IFERROR(VLOOKUP(E304,Parameters!$G$6:$H$15,2,FALSE()),"")</f>
        <v>Bulldozers / excavators / loaders</v>
      </c>
      <c r="J304" s="10" t="str">
        <f aca="false">IFERROR(INDEX(Name_Map!$B$2:$B$102,MATCH(D304,Name_Map!$A$2:$A$102,0)),D304)</f>
        <v>Maquinaria Andina S.A.S.</v>
      </c>
      <c r="K304" s="22" t="n">
        <f aca="false">IF(F304&gt;0,G304/F304,0)</f>
        <v>16637</v>
      </c>
      <c r="L304" s="10" t="str">
        <f aca="false">IF(AND(COUNTIFS($A$2:$A$307,A304,$E$2:$E$307,E304)&gt;1,COUNTIFS($A$2:$A$307,A304,$E$2:$E$307,E304,$G$2:$G$307,G304)=COUNTIFS($A$2:$A$307,A304,$E$2:$E$307,E304)),"CHECK","OK")</f>
        <v>OK</v>
      </c>
      <c r="M304" s="22" t="n">
        <f aca="false">IF(L304="CHECK",G304/SUMIFS($F$2:$F$307,$A$2:$A$307,A304,$E$2:$E$307,E304),K304)</f>
        <v>16637</v>
      </c>
      <c r="N304" s="10" t="str">
        <f aca="false">IF(COUNTIF(Parameters!$E$6:$E$13,H304)&gt;0,"Yes","No")</f>
        <v>No</v>
      </c>
      <c r="O304" s="10" t="str">
        <f aca="false">IF(M304&lt;=Parameters!$B$3,IF(COUNTIF(Parameters!$A$6:$A$7,E304)&gt;0,"Vehicles","Out of scope"),IF(COUNTIF(Parameters!$C$6:$C$14,E304)&gt;0,"H&amp;H","Out of scope"))</f>
        <v>H&amp;H</v>
      </c>
      <c r="P304" s="22" t="n">
        <f aca="false">M304*F304</f>
        <v>66548</v>
      </c>
    </row>
    <row r="305" customFormat="false" ht="15" hidden="false" customHeight="false" outlineLevel="0" collapsed="false">
      <c r="A305" s="10" t="s">
        <v>405</v>
      </c>
      <c r="B305" s="21" t="n">
        <v>46017</v>
      </c>
      <c r="C305" s="10" t="s">
        <v>161</v>
      </c>
      <c r="D305" s="10" t="s">
        <v>80</v>
      </c>
      <c r="E305" s="10" t="n">
        <v>8427</v>
      </c>
      <c r="F305" s="22" t="n">
        <v>1</v>
      </c>
      <c r="G305" s="22" t="n">
        <v>18376</v>
      </c>
      <c r="H305" s="10" t="s">
        <v>41</v>
      </c>
      <c r="I305" s="10" t="str">
        <f aca="false">IFERROR(VLOOKUP(E305,Parameters!$G$6:$H$15,2,FALSE()),"")</f>
        <v>Forklift trucks</v>
      </c>
      <c r="J305" s="10" t="str">
        <f aca="false">IFERROR(INDEX(Name_Map!$B$2:$B$102,MATCH(D305,Name_Map!$A$2:$A$102,0)),D305)</f>
        <v>Colon Free Zone Traders S.A.</v>
      </c>
      <c r="K305" s="22" t="n">
        <f aca="false">IF(F305&gt;0,G305/F305,0)</f>
        <v>18376</v>
      </c>
      <c r="L305" s="10" t="str">
        <f aca="false">IF(AND(COUNTIFS($A$2:$A$307,A305,$E$2:$E$307,E305)&gt;1,COUNTIFS($A$2:$A$307,A305,$E$2:$E$307,E305,$G$2:$G$307,G305)=COUNTIFS($A$2:$A$307,A305,$E$2:$E$307,E305)),"CHECK","OK")</f>
        <v>OK</v>
      </c>
      <c r="M305" s="22" t="n">
        <f aca="false">IF(L305="CHECK",G305/SUMIFS($F$2:$F$307,$A$2:$A$307,A305,$E$2:$E$307,E305),K305)</f>
        <v>18376</v>
      </c>
      <c r="N305" s="10" t="str">
        <f aca="false">IF(COUNTIF(Parameters!$E$6:$E$13,H305)&gt;0,"Yes","No")</f>
        <v>Yes</v>
      </c>
      <c r="O305" s="10" t="str">
        <f aca="false">IF(M305&lt;=Parameters!$B$3,IF(COUNTIF(Parameters!$A$6:$A$7,E305)&gt;0,"Vehicles","Out of scope"),IF(COUNTIF(Parameters!$C$6:$C$14,E305)&gt;0,"H&amp;H","Out of scope"))</f>
        <v>H&amp;H</v>
      </c>
      <c r="P305" s="22" t="n">
        <f aca="false">M305*F305</f>
        <v>18376</v>
      </c>
    </row>
    <row r="306" customFormat="false" ht="15" hidden="false" customHeight="false" outlineLevel="0" collapsed="false">
      <c r="A306" s="10" t="s">
        <v>405</v>
      </c>
      <c r="B306" s="21" t="n">
        <v>46017</v>
      </c>
      <c r="C306" s="10" t="s">
        <v>161</v>
      </c>
      <c r="D306" s="10" t="s">
        <v>79</v>
      </c>
      <c r="E306" s="10" t="n">
        <v>8433</v>
      </c>
      <c r="F306" s="22" t="n">
        <v>4</v>
      </c>
      <c r="G306" s="22" t="n">
        <v>81523</v>
      </c>
      <c r="H306" s="10" t="s">
        <v>41</v>
      </c>
      <c r="I306" s="10" t="str">
        <f aca="false">IFERROR(VLOOKUP(E306,Parameters!$G$6:$H$15,2,FALSE()),"")</f>
        <v>Harvesting machinery</v>
      </c>
      <c r="J306" s="10" t="str">
        <f aca="false">IFERROR(INDEX(Name_Map!$B$2:$B$102,MATCH(D306,Name_Map!$A$2:$A$102,0)),D306)</f>
        <v>Colon Free Zone Traders S.A.</v>
      </c>
      <c r="K306" s="22" t="n">
        <f aca="false">IF(F306&gt;0,G306/F306,0)</f>
        <v>20380.75</v>
      </c>
      <c r="L306" s="10" t="str">
        <f aca="false">IF(AND(COUNTIFS($A$2:$A$307,A306,$E$2:$E$307,E306)&gt;1,COUNTIFS($A$2:$A$307,A306,$E$2:$E$307,E306,$G$2:$G$307,G306)=COUNTIFS($A$2:$A$307,A306,$E$2:$E$307,E306)),"CHECK","OK")</f>
        <v>OK</v>
      </c>
      <c r="M306" s="22" t="n">
        <f aca="false">IF(L306="CHECK",G306/SUMIFS($F$2:$F$307,$A$2:$A$307,A306,$E$2:$E$307,E306),K306)</f>
        <v>20380.75</v>
      </c>
      <c r="N306" s="10" t="str">
        <f aca="false">IF(COUNTIF(Parameters!$E$6:$E$13,H306)&gt;0,"Yes","No")</f>
        <v>Yes</v>
      </c>
      <c r="O306" s="10" t="str">
        <f aca="false">IF(M306&lt;=Parameters!$B$3,IF(COUNTIF(Parameters!$A$6:$A$7,E306)&gt;0,"Vehicles","Out of scope"),IF(COUNTIF(Parameters!$C$6:$C$14,E306)&gt;0,"H&amp;H","Out of scope"))</f>
        <v>H&amp;H</v>
      </c>
      <c r="P306" s="22" t="n">
        <f aca="false">M306*F306</f>
        <v>81523</v>
      </c>
    </row>
    <row r="307" customFormat="false" ht="15" hidden="false" customHeight="false" outlineLevel="0" collapsed="false">
      <c r="A307" s="10" t="s">
        <v>406</v>
      </c>
      <c r="B307" s="21" t="n">
        <v>46019</v>
      </c>
      <c r="C307" s="10" t="s">
        <v>160</v>
      </c>
      <c r="D307" s="10" t="s">
        <v>52</v>
      </c>
      <c r="E307" s="10" t="n">
        <v>8429</v>
      </c>
      <c r="F307" s="22" t="n">
        <v>4</v>
      </c>
      <c r="G307" s="22" t="n">
        <v>107464</v>
      </c>
      <c r="H307" s="10" t="s">
        <v>33</v>
      </c>
      <c r="I307" s="10" t="str">
        <f aca="false">IFERROR(VLOOKUP(E307,Parameters!$G$6:$H$15,2,FALSE()),"")</f>
        <v>Bulldozers / excavators / loaders</v>
      </c>
      <c r="J307" s="10" t="str">
        <f aca="false">IFERROR(INDEX(Name_Map!$B$2:$B$102,MATCH(D307,Name_Map!$A$2:$A$102,0)),D307)</f>
        <v>Antillas Cargo Logistics S.R.L.</v>
      </c>
      <c r="K307" s="22" t="n">
        <f aca="false">IF(F307&gt;0,G307/F307,0)</f>
        <v>26866</v>
      </c>
      <c r="L307" s="10" t="str">
        <f aca="false">IF(AND(COUNTIFS($A$2:$A$307,A307,$E$2:$E$307,E307)&gt;1,COUNTIFS($A$2:$A$307,A307,$E$2:$E$307,E307,$G$2:$G$307,G307)=COUNTIFS($A$2:$A$307,A307,$E$2:$E$307,E307)),"CHECK","OK")</f>
        <v>OK</v>
      </c>
      <c r="M307" s="22" t="n">
        <f aca="false">IF(L307="CHECK",G307/SUMIFS($F$2:$F$307,$A$2:$A$307,A307,$E$2:$E$307,E307),K307)</f>
        <v>26866</v>
      </c>
      <c r="N307" s="10" t="str">
        <f aca="false">IF(COUNTIF(Parameters!$E$6:$E$13,H307)&gt;0,"Yes","No")</f>
        <v>Yes</v>
      </c>
      <c r="O307" s="10" t="str">
        <f aca="false">IF(M307&lt;=Parameters!$B$3,IF(COUNTIF(Parameters!$A$6:$A$7,E307)&gt;0,"Vehicles","Out of scope"),IF(COUNTIF(Parameters!$C$6:$C$14,E307)&gt;0,"H&amp;H","Out of scope"))</f>
        <v>H&amp;H</v>
      </c>
      <c r="P307" s="22" t="n">
        <f aca="false">M307*F307</f>
        <v>107464</v>
      </c>
    </row>
  </sheetData>
  <autoFilter ref="A1:P307"/>
  <conditionalFormatting sqref="A2:P307">
    <cfRule type="expression" priority="2" aboveAverage="0" equalAverage="0" bottom="0" percent="0" rank="0" text="" dxfId="5">
      <formula>$L2="CHECK"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3"/>
    <col collapsed="false" customWidth="true" hidden="false" outlineLevel="0" max="8" min="8" style="0" width="38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7"/>
  </cols>
  <sheetData>
    <row r="1" customFormat="false" ht="16.15" hidden="false" customHeight="false" outlineLevel="0" collapsed="false">
      <c r="A1" s="6" t="s">
        <v>407</v>
      </c>
    </row>
    <row r="2" customFormat="false" ht="15" hidden="false" customHeight="false" outlineLevel="0" collapsed="false">
      <c r="A2" s="9" t="s">
        <v>408</v>
      </c>
    </row>
    <row r="3" customFormat="false" ht="15" hidden="false" customHeight="false" outlineLevel="0" collapsed="false">
      <c r="A3" s="7" t="s">
        <v>409</v>
      </c>
      <c r="B3" s="23" t="s">
        <v>410</v>
      </c>
    </row>
    <row r="4" customFormat="false" ht="15" hidden="false" customHeight="false" outlineLevel="0" collapsed="false">
      <c r="H4" s="24" t="s">
        <v>411</v>
      </c>
    </row>
    <row r="5" customFormat="false" ht="15" hidden="false" customHeight="false" outlineLevel="0" collapsed="false">
      <c r="A5" s="25" t="s">
        <v>412</v>
      </c>
      <c r="B5" s="25" t="s">
        <v>413</v>
      </c>
      <c r="C5" s="25" t="s">
        <v>414</v>
      </c>
      <c r="D5" s="25" t="s">
        <v>415</v>
      </c>
      <c r="E5" s="25" t="s">
        <v>416</v>
      </c>
      <c r="H5" s="26" t="s">
        <v>417</v>
      </c>
      <c r="I5" s="26" t="s">
        <v>414</v>
      </c>
      <c r="J5" s="26" t="s">
        <v>415</v>
      </c>
      <c r="K5" s="26" t="s">
        <v>412</v>
      </c>
    </row>
    <row r="6" customFormat="false" ht="15" hidden="false" customHeight="false" outlineLevel="0" collapsed="false">
      <c r="A6" s="27" t="n">
        <v>1</v>
      </c>
      <c r="B6" s="27" t="str">
        <f aca="false">IFERROR(INDEX($H$6:$H$36,MATCH(A6,$K$6:$K$36,0)),"")</f>
        <v>Guayas Autos S.A.</v>
      </c>
      <c r="C6" s="14" t="n">
        <f aca="false">IFERROR(INDEX($I$6:$I$36,MATCH(A6,$K$6:$K$36,0)),"")</f>
        <v>267</v>
      </c>
      <c r="D6" s="28" t="n">
        <f aca="false">IFERROR(INDEX($J$6:$J$36,MATCH(A6,$K$6:$K$36,0)),"")</f>
        <v>1100.062</v>
      </c>
      <c r="E6" s="15" t="n">
        <f aca="false">IF(C6="","",C6/$C$18)</f>
        <v>0.109515996718622</v>
      </c>
      <c r="H6" s="10" t="s">
        <v>48</v>
      </c>
      <c r="I6" s="22" t="n">
        <f aca="false">IF($B$3="All countries",SUMIFS(Raw_Data!$F$2:$F$307,Raw_Data!$J$2:$J$307,H6,Raw_Data!$O$2:$O$307,"Vehicles",Raw_Data!$N$2:$N$307,"Yes"),SUMIFS(Raw_Data!$F$2:$F$307,Raw_Data!$J$2:$J$307,H6,Raw_Data!$O$2:$O$307,"Vehicles",Raw_Data!$N$2:$N$307,"Yes",Raw_Data!$C$2:$C$307,$B$3))</f>
        <v>90</v>
      </c>
      <c r="J6" s="29" t="n">
        <f aca="false">IF($B$3="All countries",SUMIFS(Raw_Data!$P$2:$P$307,Raw_Data!$J$2:$J$307,H6,Raw_Data!$O$2:$O$307,"Vehicles",Raw_Data!$N$2:$N$307,"Yes"),SUMIFS(Raw_Data!$P$2:$P$307,Raw_Data!$J$2:$J$307,H6,Raw_Data!$O$2:$O$307,"Vehicles",Raw_Data!$N$2:$N$307,"Yes",Raw_Data!$C$2:$C$307,$B$3))/1000</f>
        <v>242.149</v>
      </c>
      <c r="K6" s="10" t="n">
        <f aca="false">IF(I6&gt;0,RANK(I6,$I$6:$I$36)+COUNTIF($I$6:I6,I6)-1,"")</f>
        <v>13</v>
      </c>
    </row>
    <row r="7" customFormat="false" ht="15" hidden="false" customHeight="false" outlineLevel="0" collapsed="false">
      <c r="A7" s="30" t="n">
        <v>2</v>
      </c>
      <c r="B7" s="30" t="str">
        <f aca="false">IFERROR(INDEX($H$6:$H$36,MATCH(A7,$K$6:$K$36,0)),"")</f>
        <v>Quisqueya Motors S.R.L.</v>
      </c>
      <c r="C7" s="31" t="n">
        <f aca="false">IFERROR(INDEX($I$6:$I$36,MATCH(A7,$K$6:$K$36,0)),"")</f>
        <v>250</v>
      </c>
      <c r="D7" s="32" t="n">
        <f aca="false">IFERROR(INDEX($J$6:$J$36,MATCH(A7,$K$6:$K$36,0)),"")</f>
        <v>709.753</v>
      </c>
      <c r="E7" s="33" t="n">
        <f aca="false">IF(C7="","",C7/$C$18)</f>
        <v>0.102543068088597</v>
      </c>
      <c r="H7" s="10" t="s">
        <v>50</v>
      </c>
      <c r="I7" s="22" t="n">
        <f aca="false">IF($B$3="All countries",SUMIFS(Raw_Data!$F$2:$F$307,Raw_Data!$J$2:$J$307,H7,Raw_Data!$O$2:$O$307,"Vehicles",Raw_Data!$N$2:$N$307,"Yes"),SUMIFS(Raw_Data!$F$2:$F$307,Raw_Data!$J$2:$J$307,H7,Raw_Data!$O$2:$O$307,"Vehicles",Raw_Data!$N$2:$N$307,"Yes",Raw_Data!$C$2:$C$307,$B$3))</f>
        <v>139</v>
      </c>
      <c r="J7" s="29" t="n">
        <f aca="false">IF($B$3="All countries",SUMIFS(Raw_Data!$P$2:$P$307,Raw_Data!$J$2:$J$307,H7,Raw_Data!$O$2:$O$307,"Vehicles",Raw_Data!$N$2:$N$307,"Yes"),SUMIFS(Raw_Data!$P$2:$P$307,Raw_Data!$J$2:$J$307,H7,Raw_Data!$O$2:$O$307,"Vehicles",Raw_Data!$N$2:$N$307,"Yes",Raw_Data!$C$2:$C$307,$B$3))/1000</f>
        <v>313.429</v>
      </c>
      <c r="K7" s="10" t="n">
        <f aca="false">IF(I7&gt;0,RANK(I7,$I$6:$I$36)+COUNTIF($I$6:I7,I7)-1,"")</f>
        <v>11</v>
      </c>
    </row>
    <row r="8" customFormat="false" ht="15" hidden="false" customHeight="false" outlineLevel="0" collapsed="false">
      <c r="A8" s="27" t="n">
        <v>3</v>
      </c>
      <c r="B8" s="27" t="str">
        <f aca="false">IFERROR(INDEX($H$6:$H$36,MATCH(A8,$K$6:$K$36,0)),"")</f>
        <v>Canal Autos S.A.</v>
      </c>
      <c r="C8" s="14" t="n">
        <f aca="false">IFERROR(INDEX($I$6:$I$36,MATCH(A8,$K$6:$K$36,0)),"")</f>
        <v>233</v>
      </c>
      <c r="D8" s="28" t="n">
        <f aca="false">IFERROR(INDEX($J$6:$J$36,MATCH(A8,$K$6:$K$36,0)),"")</f>
        <v>1088.169</v>
      </c>
      <c r="E8" s="15" t="n">
        <f aca="false">IF(C8="","",C8/$C$18)</f>
        <v>0.0955701394585726</v>
      </c>
      <c r="H8" s="10" t="s">
        <v>52</v>
      </c>
      <c r="I8" s="22" t="n">
        <f aca="false">IF($B$3="All countries",SUMIFS(Raw_Data!$F$2:$F$307,Raw_Data!$J$2:$J$307,H8,Raw_Data!$O$2:$O$307,"Vehicles",Raw_Data!$N$2:$N$307,"Yes"),SUMIFS(Raw_Data!$F$2:$F$307,Raw_Data!$J$2:$J$307,H8,Raw_Data!$O$2:$O$307,"Vehicles",Raw_Data!$N$2:$N$307,"Yes",Raw_Data!$C$2:$C$307,$B$3))</f>
        <v>0</v>
      </c>
      <c r="J8" s="29" t="n">
        <f aca="false">IF($B$3="All countries",SUMIFS(Raw_Data!$P$2:$P$307,Raw_Data!$J$2:$J$307,H8,Raw_Data!$O$2:$O$307,"Vehicles",Raw_Data!$N$2:$N$307,"Yes"),SUMIFS(Raw_Data!$P$2:$P$307,Raw_Data!$J$2:$J$307,H8,Raw_Data!$O$2:$O$307,"Vehicles",Raw_Data!$N$2:$N$307,"Yes",Raw_Data!$C$2:$C$307,$B$3))/1000</f>
        <v>0</v>
      </c>
      <c r="K8" s="10" t="str">
        <f aca="false">IF(I8&gt;0,RANK(I8,$I$6:$I$36)+COUNTIF($I$6:I8,I8)-1,"")</f>
        <v/>
      </c>
    </row>
    <row r="9" customFormat="false" ht="15" hidden="false" customHeight="false" outlineLevel="0" collapsed="false">
      <c r="A9" s="30" t="n">
        <v>4</v>
      </c>
      <c r="B9" s="30" t="str">
        <f aca="false">IFERROR(INDEX($H$6:$H$36,MATCH(A9,$K$6:$K$36,0)),"")</f>
        <v>Santo Domingo Autos S.R.L.</v>
      </c>
      <c r="C9" s="31" t="n">
        <f aca="false">IFERROR(INDEX($I$6:$I$36,MATCH(A9,$K$6:$K$36,0)),"")</f>
        <v>190</v>
      </c>
      <c r="D9" s="32" t="n">
        <f aca="false">IFERROR(INDEX($J$6:$J$36,MATCH(A9,$K$6:$K$36,0)),"")</f>
        <v>551.907</v>
      </c>
      <c r="E9" s="33" t="n">
        <f aca="false">IF(C9="","",C9/$C$18)</f>
        <v>0.0779327317473339</v>
      </c>
      <c r="H9" s="10" t="s">
        <v>54</v>
      </c>
      <c r="I9" s="22" t="n">
        <f aca="false">IF($B$3="All countries",SUMIFS(Raw_Data!$F$2:$F$307,Raw_Data!$J$2:$J$307,H9,Raw_Data!$O$2:$O$307,"Vehicles",Raw_Data!$N$2:$N$307,"Yes"),SUMIFS(Raw_Data!$F$2:$F$307,Raw_Data!$J$2:$J$307,H9,Raw_Data!$O$2:$O$307,"Vehicles",Raw_Data!$N$2:$N$307,"Yes",Raw_Data!$C$2:$C$307,$B$3))</f>
        <v>0</v>
      </c>
      <c r="J9" s="29" t="n">
        <f aca="false">IF($B$3="All countries",SUMIFS(Raw_Data!$P$2:$P$307,Raw_Data!$J$2:$J$307,H9,Raw_Data!$O$2:$O$307,"Vehicles",Raw_Data!$N$2:$N$307,"Yes"),SUMIFS(Raw_Data!$P$2:$P$307,Raw_Data!$J$2:$J$307,H9,Raw_Data!$O$2:$O$307,"Vehicles",Raw_Data!$N$2:$N$307,"Yes",Raw_Data!$C$2:$C$307,$B$3))/1000</f>
        <v>0</v>
      </c>
      <c r="K9" s="10" t="str">
        <f aca="false">IF(I9&gt;0,RANK(I9,$I$6:$I$36)+COUNTIF($I$6:I9,I9)-1,"")</f>
        <v/>
      </c>
    </row>
    <row r="10" customFormat="false" ht="15" hidden="false" customHeight="false" outlineLevel="0" collapsed="false">
      <c r="A10" s="27" t="n">
        <v>5</v>
      </c>
      <c r="B10" s="27" t="str">
        <f aca="false">IFERROR(INDEX($H$6:$H$36,MATCH(A10,$K$6:$K$36,0)),"")</f>
        <v>Inca Automotriz S.A.C.</v>
      </c>
      <c r="C10" s="14" t="n">
        <f aca="false">IFERROR(INDEX($I$6:$I$36,MATCH(A10,$K$6:$K$36,0)),"")</f>
        <v>189</v>
      </c>
      <c r="D10" s="28" t="n">
        <f aca="false">IFERROR(INDEX($J$6:$J$36,MATCH(A10,$K$6:$K$36,0)),"")</f>
        <v>494.672</v>
      </c>
      <c r="E10" s="15" t="n">
        <f aca="false">IF(C10="","",C10/$C$18)</f>
        <v>0.0775225594749795</v>
      </c>
      <c r="H10" s="10" t="s">
        <v>56</v>
      </c>
      <c r="I10" s="22" t="n">
        <f aca="false">IF($B$3="All countries",SUMIFS(Raw_Data!$F$2:$F$307,Raw_Data!$J$2:$J$307,H10,Raw_Data!$O$2:$O$307,"Vehicles",Raw_Data!$N$2:$N$307,"Yes"),SUMIFS(Raw_Data!$F$2:$F$307,Raw_Data!$J$2:$J$307,H10,Raw_Data!$O$2:$O$307,"Vehicles",Raw_Data!$N$2:$N$307,"Yes",Raw_Data!$C$2:$C$307,$B$3))</f>
        <v>144</v>
      </c>
      <c r="J10" s="29" t="n">
        <f aca="false">IF($B$3="All countries",SUMIFS(Raw_Data!$P$2:$P$307,Raw_Data!$J$2:$J$307,H10,Raw_Data!$O$2:$O$307,"Vehicles",Raw_Data!$N$2:$N$307,"Yes"),SUMIFS(Raw_Data!$P$2:$P$307,Raw_Data!$J$2:$J$307,H10,Raw_Data!$O$2:$O$307,"Vehicles",Raw_Data!$N$2:$N$307,"Yes",Raw_Data!$C$2:$C$307,$B$3))/1000</f>
        <v>399.748</v>
      </c>
      <c r="K10" s="10" t="n">
        <f aca="false">IF(I10&gt;0,RANK(I10,$I$6:$I$36)+COUNTIF($I$6:I10,I10)-1,"")</f>
        <v>9</v>
      </c>
    </row>
    <row r="11" customFormat="false" ht="15" hidden="false" customHeight="false" outlineLevel="0" collapsed="false">
      <c r="A11" s="30" t="n">
        <v>6</v>
      </c>
      <c r="B11" s="30" t="str">
        <f aca="false">IFERROR(INDEX($H$6:$H$36,MATCH(A11,$K$6:$K$36,0)),"")</f>
        <v>Bogota Car Import S.A.S.</v>
      </c>
      <c r="C11" s="31" t="n">
        <f aca="false">IFERROR(INDEX($I$6:$I$36,MATCH(A11,$K$6:$K$36,0)),"")</f>
        <v>186</v>
      </c>
      <c r="D11" s="32" t="n">
        <f aca="false">IFERROR(INDEX($J$6:$J$36,MATCH(A11,$K$6:$K$36,0)),"")</f>
        <v>684.364</v>
      </c>
      <c r="E11" s="33" t="n">
        <f aca="false">IF(C11="","",C11/$C$18)</f>
        <v>0.0762920426579163</v>
      </c>
      <c r="H11" s="10" t="s">
        <v>58</v>
      </c>
      <c r="I11" s="22" t="n">
        <f aca="false">IF($B$3="All countries",SUMIFS(Raw_Data!$F$2:$F$307,Raw_Data!$J$2:$J$307,H11,Raw_Data!$O$2:$O$307,"Vehicles",Raw_Data!$N$2:$N$307,"Yes"),SUMIFS(Raw_Data!$F$2:$F$307,Raw_Data!$J$2:$J$307,H11,Raw_Data!$O$2:$O$307,"Vehicles",Raw_Data!$N$2:$N$307,"Yes",Raw_Data!$C$2:$C$307,$B$3))</f>
        <v>128</v>
      </c>
      <c r="J11" s="29" t="n">
        <f aca="false">IF($B$3="All countries",SUMIFS(Raw_Data!$P$2:$P$307,Raw_Data!$J$2:$J$307,H11,Raw_Data!$O$2:$O$307,"Vehicles",Raw_Data!$N$2:$N$307,"Yes"),SUMIFS(Raw_Data!$P$2:$P$307,Raw_Data!$J$2:$J$307,H11,Raw_Data!$O$2:$O$307,"Vehicles",Raw_Data!$N$2:$N$307,"Yes",Raw_Data!$C$2:$C$307,$B$3))/1000</f>
        <v>326.645</v>
      </c>
      <c r="K11" s="10" t="n">
        <f aca="false">IF(I11&gt;0,RANK(I11,$I$6:$I$36)+COUNTIF($I$6:I11,I11)-1,"")</f>
        <v>12</v>
      </c>
    </row>
    <row r="12" customFormat="false" ht="15" hidden="false" customHeight="false" outlineLevel="0" collapsed="false">
      <c r="A12" s="27" t="n">
        <v>7</v>
      </c>
      <c r="B12" s="27" t="str">
        <f aca="false">IFERROR(INDEX($H$6:$H$36,MATCH(A12,$K$6:$K$36,0)),"")</f>
        <v>Istmo Motors S.A.</v>
      </c>
      <c r="C12" s="14" t="n">
        <f aca="false">IFERROR(INDEX($I$6:$I$36,MATCH(A12,$K$6:$K$36,0)),"")</f>
        <v>161</v>
      </c>
      <c r="D12" s="28" t="n">
        <f aca="false">IFERROR(INDEX($J$6:$J$36,MATCH(A12,$K$6:$K$36,0)),"")</f>
        <v>408.196</v>
      </c>
      <c r="E12" s="15" t="n">
        <f aca="false">IF(C12="","",C12/$C$18)</f>
        <v>0.0660377358490566</v>
      </c>
      <c r="H12" s="10" t="s">
        <v>70</v>
      </c>
      <c r="I12" s="22" t="n">
        <f aca="false">IF($B$3="All countries",SUMIFS(Raw_Data!$F$2:$F$307,Raw_Data!$J$2:$J$307,H12,Raw_Data!$O$2:$O$307,"Vehicles",Raw_Data!$N$2:$N$307,"Yes"),SUMIFS(Raw_Data!$F$2:$F$307,Raw_Data!$J$2:$J$307,H12,Raw_Data!$O$2:$O$307,"Vehicles",Raw_Data!$N$2:$N$307,"Yes",Raw_Data!$C$2:$C$307,$B$3))</f>
        <v>186</v>
      </c>
      <c r="J12" s="29" t="n">
        <f aca="false">IF($B$3="All countries",SUMIFS(Raw_Data!$P$2:$P$307,Raw_Data!$J$2:$J$307,H12,Raw_Data!$O$2:$O$307,"Vehicles",Raw_Data!$N$2:$N$307,"Yes"),SUMIFS(Raw_Data!$P$2:$P$307,Raw_Data!$J$2:$J$307,H12,Raw_Data!$O$2:$O$307,"Vehicles",Raw_Data!$N$2:$N$307,"Yes",Raw_Data!$C$2:$C$307,$B$3))/1000</f>
        <v>684.364</v>
      </c>
      <c r="K12" s="10" t="n">
        <f aca="false">IF(I12&gt;0,RANK(I12,$I$6:$I$36)+COUNTIF($I$6:I12,I12)-1,"")</f>
        <v>6</v>
      </c>
    </row>
    <row r="13" customFormat="false" ht="15" hidden="false" customHeight="false" outlineLevel="0" collapsed="false">
      <c r="A13" s="30" t="n">
        <v>8</v>
      </c>
      <c r="B13" s="30" t="str">
        <f aca="false">IFERROR(INDEX($H$6:$H$36,MATCH(A13,$K$6:$K$36,0)),"")</f>
        <v>Lima Car Import S.A.C.</v>
      </c>
      <c r="C13" s="31" t="n">
        <f aca="false">IFERROR(INDEX($I$6:$I$36,MATCH(A13,$K$6:$K$36,0)),"")</f>
        <v>150</v>
      </c>
      <c r="D13" s="32" t="n">
        <f aca="false">IFERROR(INDEX($J$6:$J$36,MATCH(A13,$K$6:$K$36,0)),"")</f>
        <v>529.284</v>
      </c>
      <c r="E13" s="33" t="n">
        <f aca="false">IF(C13="","",C13/$C$18)</f>
        <v>0.0615258408531583</v>
      </c>
      <c r="H13" s="10" t="s">
        <v>74</v>
      </c>
      <c r="I13" s="22" t="n">
        <f aca="false">IF($B$3="All countries",SUMIFS(Raw_Data!$F$2:$F$307,Raw_Data!$J$2:$J$307,H13,Raw_Data!$O$2:$O$307,"Vehicles",Raw_Data!$N$2:$N$307,"Yes"),SUMIFS(Raw_Data!$F$2:$F$307,Raw_Data!$J$2:$J$307,H13,Raw_Data!$O$2:$O$307,"Vehicles",Raw_Data!$N$2:$N$307,"Yes",Raw_Data!$C$2:$C$307,$B$3))</f>
        <v>233</v>
      </c>
      <c r="J13" s="29" t="n">
        <f aca="false">IF($B$3="All countries",SUMIFS(Raw_Data!$P$2:$P$307,Raw_Data!$J$2:$J$307,H13,Raw_Data!$O$2:$O$307,"Vehicles",Raw_Data!$N$2:$N$307,"Yes"),SUMIFS(Raw_Data!$P$2:$P$307,Raw_Data!$J$2:$J$307,H13,Raw_Data!$O$2:$O$307,"Vehicles",Raw_Data!$N$2:$N$307,"Yes",Raw_Data!$C$2:$C$307,$B$3))/1000</f>
        <v>1088.169</v>
      </c>
      <c r="K13" s="10" t="n">
        <f aca="false">IF(I13&gt;0,RANK(I13,$I$6:$I$36)+COUNTIF($I$6:I13,I13)-1,"")</f>
        <v>3</v>
      </c>
    </row>
    <row r="14" customFormat="false" ht="15" hidden="false" customHeight="false" outlineLevel="0" collapsed="false">
      <c r="A14" s="27" t="n">
        <v>9</v>
      </c>
      <c r="B14" s="27" t="str">
        <f aca="false">IFERROR(INDEX($H$6:$H$36,MATCH(A14,$K$6:$K$36,0)),"")</f>
        <v>Austral Truck Center SpA</v>
      </c>
      <c r="C14" s="14" t="n">
        <f aca="false">IFERROR(INDEX($I$6:$I$36,MATCH(A14,$K$6:$K$36,0)),"")</f>
        <v>144</v>
      </c>
      <c r="D14" s="28" t="n">
        <f aca="false">IFERROR(INDEX($J$6:$J$36,MATCH(A14,$K$6:$K$36,0)),"")</f>
        <v>399.748</v>
      </c>
      <c r="E14" s="15" t="n">
        <f aca="false">IF(C14="","",C14/$C$18)</f>
        <v>0.059064807219032</v>
      </c>
      <c r="H14" s="10" t="s">
        <v>87</v>
      </c>
      <c r="I14" s="22" t="n">
        <f aca="false">IF($B$3="All countries",SUMIFS(Raw_Data!$F$2:$F$307,Raw_Data!$J$2:$J$307,H14,Raw_Data!$O$2:$O$307,"Vehicles",Raw_Data!$N$2:$N$307,"Yes"),SUMIFS(Raw_Data!$F$2:$F$307,Raw_Data!$J$2:$J$307,H14,Raw_Data!$O$2:$O$307,"Vehicles",Raw_Data!$N$2:$N$307,"Yes",Raw_Data!$C$2:$C$307,$B$3))</f>
        <v>0</v>
      </c>
      <c r="J14" s="29" t="n">
        <f aca="false">IF($B$3="All countries",SUMIFS(Raw_Data!$P$2:$P$307,Raw_Data!$J$2:$J$307,H14,Raw_Data!$O$2:$O$307,"Vehicles",Raw_Data!$N$2:$N$307,"Yes"),SUMIFS(Raw_Data!$P$2:$P$307,Raw_Data!$J$2:$J$307,H14,Raw_Data!$O$2:$O$307,"Vehicles",Raw_Data!$N$2:$N$307,"Yes",Raw_Data!$C$2:$C$307,$B$3))/1000</f>
        <v>0</v>
      </c>
      <c r="K14" s="10" t="str">
        <f aca="false">IF(I14&gt;0,RANK(I14,$I$6:$I$36)+COUNTIF($I$6:I14,I14)-1,"")</f>
        <v/>
      </c>
    </row>
    <row r="15" customFormat="false" ht="15" hidden="false" customHeight="false" outlineLevel="0" collapsed="false">
      <c r="A15" s="30" t="n">
        <v>10</v>
      </c>
      <c r="B15" s="30" t="str">
        <f aca="false">IFERROR(INDEX($H$6:$H$36,MATCH(A15,$K$6:$K$36,0)),"")</f>
        <v>Ecuamotors Cia. Ltda.</v>
      </c>
      <c r="C15" s="31" t="n">
        <f aca="false">IFERROR(INDEX($I$6:$I$36,MATCH(A15,$K$6:$K$36,0)),"")</f>
        <v>140</v>
      </c>
      <c r="D15" s="32" t="n">
        <f aca="false">IFERROR(INDEX($J$6:$J$36,MATCH(A15,$K$6:$K$36,0)),"")</f>
        <v>242.158</v>
      </c>
      <c r="E15" s="33" t="n">
        <f aca="false">IF(C15="","",C15/$C$18)</f>
        <v>0.0574241181296144</v>
      </c>
      <c r="H15" s="10" t="s">
        <v>76</v>
      </c>
      <c r="I15" s="22" t="n">
        <f aca="false">IF($B$3="All countries",SUMIFS(Raw_Data!$F$2:$F$307,Raw_Data!$J$2:$J$307,H15,Raw_Data!$O$2:$O$307,"Vehicles",Raw_Data!$N$2:$N$307,"Yes"),SUMIFS(Raw_Data!$F$2:$F$307,Raw_Data!$J$2:$J$307,H15,Raw_Data!$O$2:$O$307,"Vehicles",Raw_Data!$N$2:$N$307,"Yes",Raw_Data!$C$2:$C$307,$B$3))</f>
        <v>86</v>
      </c>
      <c r="J15" s="29" t="n">
        <f aca="false">IF($B$3="All countries",SUMIFS(Raw_Data!$P$2:$P$307,Raw_Data!$J$2:$J$307,H15,Raw_Data!$O$2:$O$307,"Vehicles",Raw_Data!$N$2:$N$307,"Yes"),SUMIFS(Raw_Data!$P$2:$P$307,Raw_Data!$J$2:$J$307,H15,Raw_Data!$O$2:$O$307,"Vehicles",Raw_Data!$N$2:$N$307,"Yes",Raw_Data!$C$2:$C$307,$B$3))/1000</f>
        <v>390.082</v>
      </c>
      <c r="K15" s="10" t="n">
        <f aca="false">IF(I15&gt;0,RANK(I15,$I$6:$I$36)+COUNTIF($I$6:I15,I15)-1,"")</f>
        <v>14</v>
      </c>
    </row>
    <row r="16" customFormat="false" ht="15" hidden="false" customHeight="false" outlineLevel="0" collapsed="false">
      <c r="B16" s="10" t="s">
        <v>418</v>
      </c>
      <c r="C16" s="22" t="n">
        <f aca="false">SUM(C6:C15)</f>
        <v>1910</v>
      </c>
      <c r="E16" s="34" t="n">
        <f aca="false">IF($C$18&gt;0,C16/$C$18,0)</f>
        <v>0.783429040196883</v>
      </c>
      <c r="H16" s="10" t="s">
        <v>90</v>
      </c>
      <c r="I16" s="22" t="n">
        <f aca="false">IF($B$3="All countries",SUMIFS(Raw_Data!$F$2:$F$307,Raw_Data!$J$2:$J$307,H16,Raw_Data!$O$2:$O$307,"Vehicles",Raw_Data!$N$2:$N$307,"Yes"),SUMIFS(Raw_Data!$F$2:$F$307,Raw_Data!$J$2:$J$307,H16,Raw_Data!$O$2:$O$307,"Vehicles",Raw_Data!$N$2:$N$307,"Yes",Raw_Data!$C$2:$C$307,$B$3))</f>
        <v>0</v>
      </c>
      <c r="J16" s="29" t="n">
        <f aca="false">IF($B$3="All countries",SUMIFS(Raw_Data!$P$2:$P$307,Raw_Data!$J$2:$J$307,H16,Raw_Data!$O$2:$O$307,"Vehicles",Raw_Data!$N$2:$N$307,"Yes"),SUMIFS(Raw_Data!$P$2:$P$307,Raw_Data!$J$2:$J$307,H16,Raw_Data!$O$2:$O$307,"Vehicles",Raw_Data!$N$2:$N$307,"Yes",Raw_Data!$C$2:$C$307,$B$3))/1000</f>
        <v>0</v>
      </c>
      <c r="K16" s="10" t="str">
        <f aca="false">IF(I16&gt;0,RANK(I16,$I$6:$I$36)+COUNTIF($I$6:I16,I16)-1,"")</f>
        <v/>
      </c>
    </row>
    <row r="17" customFormat="false" ht="15" hidden="false" customHeight="false" outlineLevel="0" collapsed="false">
      <c r="B17" s="10" t="s">
        <v>419</v>
      </c>
      <c r="C17" s="22" t="n">
        <f aca="false">C18-C16</f>
        <v>528</v>
      </c>
      <c r="E17" s="34" t="n">
        <f aca="false">IF($C$18&gt;0,C17/$C$18,0)</f>
        <v>0.216570959803117</v>
      </c>
      <c r="H17" s="10" t="s">
        <v>78</v>
      </c>
      <c r="I17" s="22" t="n">
        <f aca="false">IF($B$3="All countries",SUMIFS(Raw_Data!$F$2:$F$307,Raw_Data!$J$2:$J$307,H17,Raw_Data!$O$2:$O$307,"Vehicles",Raw_Data!$N$2:$N$307,"Yes"),SUMIFS(Raw_Data!$F$2:$F$307,Raw_Data!$J$2:$J$307,H17,Raw_Data!$O$2:$O$307,"Vehicles",Raw_Data!$N$2:$N$307,"Yes",Raw_Data!$C$2:$C$307,$B$3))</f>
        <v>0</v>
      </c>
      <c r="J17" s="29" t="n">
        <f aca="false">IF($B$3="All countries",SUMIFS(Raw_Data!$P$2:$P$307,Raw_Data!$J$2:$J$307,H17,Raw_Data!$O$2:$O$307,"Vehicles",Raw_Data!$N$2:$N$307,"Yes"),SUMIFS(Raw_Data!$P$2:$P$307,Raw_Data!$J$2:$J$307,H17,Raw_Data!$O$2:$O$307,"Vehicles",Raw_Data!$N$2:$N$307,"Yes",Raw_Data!$C$2:$C$307,$B$3))/1000</f>
        <v>0</v>
      </c>
      <c r="K17" s="10" t="str">
        <f aca="false">IF(I17&gt;0,RANK(I17,$I$6:$I$36)+COUNTIF($I$6:I17,I17)-1,"")</f>
        <v/>
      </c>
    </row>
    <row r="18" customFormat="false" ht="15" hidden="false" customHeight="false" outlineLevel="0" collapsed="false">
      <c r="B18" s="7" t="s">
        <v>420</v>
      </c>
      <c r="C18" s="35" t="n">
        <f aca="false">SUM(I6:I36)</f>
        <v>2438</v>
      </c>
      <c r="E18" s="36" t="n">
        <f aca="false">IF($C$18&gt;0,1,0)</f>
        <v>1</v>
      </c>
      <c r="H18" s="10" t="s">
        <v>80</v>
      </c>
      <c r="I18" s="22" t="n">
        <f aca="false">IF($B$3="All countries",SUMIFS(Raw_Data!$F$2:$F$307,Raw_Data!$J$2:$J$307,H18,Raw_Data!$O$2:$O$307,"Vehicles",Raw_Data!$N$2:$N$307,"Yes"),SUMIFS(Raw_Data!$F$2:$F$307,Raw_Data!$J$2:$J$307,H18,Raw_Data!$O$2:$O$307,"Vehicles",Raw_Data!$N$2:$N$307,"Yes",Raw_Data!$C$2:$C$307,$B$3))</f>
        <v>0</v>
      </c>
      <c r="J18" s="29" t="n">
        <f aca="false">IF($B$3="All countries",SUMIFS(Raw_Data!$P$2:$P$307,Raw_Data!$J$2:$J$307,H18,Raw_Data!$O$2:$O$307,"Vehicles",Raw_Data!$N$2:$N$307,"Yes"),SUMIFS(Raw_Data!$P$2:$P$307,Raw_Data!$J$2:$J$307,H18,Raw_Data!$O$2:$O$307,"Vehicles",Raw_Data!$N$2:$N$307,"Yes",Raw_Data!$C$2:$C$307,$B$3))/1000</f>
        <v>0</v>
      </c>
      <c r="K18" s="10" t="str">
        <f aca="false">IF(I18&gt;0,RANK(I18,$I$6:$I$36)+COUNTIF($I$6:I18,I18)-1,"")</f>
        <v/>
      </c>
    </row>
    <row r="19" customFormat="false" ht="15" hidden="false" customHeight="false" outlineLevel="0" collapsed="false">
      <c r="B19" s="10" t="s">
        <v>421</v>
      </c>
      <c r="C19" s="22" t="n">
        <f aca="false">COUNTIF(I6:I36,"&gt;0")</f>
        <v>16</v>
      </c>
      <c r="E19" s="34"/>
      <c r="H19" s="10" t="s">
        <v>82</v>
      </c>
      <c r="I19" s="22" t="n">
        <f aca="false">IF($B$3="All countries",SUMIFS(Raw_Data!$F$2:$F$307,Raw_Data!$J$2:$J$307,H19,Raw_Data!$O$2:$O$307,"Vehicles",Raw_Data!$N$2:$N$307,"Yes"),SUMIFS(Raw_Data!$F$2:$F$307,Raw_Data!$J$2:$J$307,H19,Raw_Data!$O$2:$O$307,"Vehicles",Raw_Data!$N$2:$N$307,"Yes",Raw_Data!$C$2:$C$307,$B$3))</f>
        <v>0</v>
      </c>
      <c r="J19" s="29" t="n">
        <f aca="false">IF($B$3="All countries",SUMIFS(Raw_Data!$P$2:$P$307,Raw_Data!$J$2:$J$307,H19,Raw_Data!$O$2:$O$307,"Vehicles",Raw_Data!$N$2:$N$307,"Yes"),SUMIFS(Raw_Data!$P$2:$P$307,Raw_Data!$J$2:$J$307,H19,Raw_Data!$O$2:$O$307,"Vehicles",Raw_Data!$N$2:$N$307,"Yes",Raw_Data!$C$2:$C$307,$B$3))/1000</f>
        <v>0</v>
      </c>
      <c r="K19" s="10" t="str">
        <f aca="false">IF(I19&gt;0,RANK(I19,$I$6:$I$36)+COUNTIF($I$6:I19,I19)-1,"")</f>
        <v/>
      </c>
    </row>
    <row r="20" customFormat="false" ht="15" hidden="false" customHeight="false" outlineLevel="0" collapsed="false">
      <c r="H20" s="10" t="s">
        <v>84</v>
      </c>
      <c r="I20" s="22" t="n">
        <f aca="false">IF($B$3="All countries",SUMIFS(Raw_Data!$F$2:$F$307,Raw_Data!$J$2:$J$307,H20,Raw_Data!$O$2:$O$307,"Vehicles",Raw_Data!$N$2:$N$307,"Yes"),SUMIFS(Raw_Data!$F$2:$F$307,Raw_Data!$J$2:$J$307,H20,Raw_Data!$O$2:$O$307,"Vehicles",Raw_Data!$N$2:$N$307,"Yes",Raw_Data!$C$2:$C$307,$B$3))</f>
        <v>0</v>
      </c>
      <c r="J20" s="29" t="n">
        <f aca="false">IF($B$3="All countries",SUMIFS(Raw_Data!$P$2:$P$307,Raw_Data!$J$2:$J$307,H20,Raw_Data!$O$2:$O$307,"Vehicles",Raw_Data!$N$2:$N$307,"Yes"),SUMIFS(Raw_Data!$P$2:$P$307,Raw_Data!$J$2:$J$307,H20,Raw_Data!$O$2:$O$307,"Vehicles",Raw_Data!$N$2:$N$307,"Yes",Raw_Data!$C$2:$C$307,$B$3))/1000</f>
        <v>0</v>
      </c>
      <c r="K20" s="10" t="str">
        <f aca="false">IF(I20&gt;0,RANK(I20,$I$6:$I$36)+COUNTIF($I$6:I20,I20)-1,"")</f>
        <v/>
      </c>
    </row>
    <row r="21" customFormat="false" ht="15" hidden="false" customHeight="false" outlineLevel="0" collapsed="false">
      <c r="H21" s="10" t="s">
        <v>97</v>
      </c>
      <c r="I21" s="22" t="n">
        <f aca="false">IF($B$3="All countries",SUMIFS(Raw_Data!$F$2:$F$307,Raw_Data!$J$2:$J$307,H21,Raw_Data!$O$2:$O$307,"Vehicles",Raw_Data!$N$2:$N$307,"Yes"),SUMIFS(Raw_Data!$F$2:$F$307,Raw_Data!$J$2:$J$307,H21,Raw_Data!$O$2:$O$307,"Vehicles",Raw_Data!$N$2:$N$307,"Yes",Raw_Data!$C$2:$C$307,$B$3))</f>
        <v>0</v>
      </c>
      <c r="J21" s="29" t="n">
        <f aca="false">IF($B$3="All countries",SUMIFS(Raw_Data!$P$2:$P$307,Raw_Data!$J$2:$J$307,H21,Raw_Data!$O$2:$O$307,"Vehicles",Raw_Data!$N$2:$N$307,"Yes"),SUMIFS(Raw_Data!$P$2:$P$307,Raw_Data!$J$2:$J$307,H21,Raw_Data!$O$2:$O$307,"Vehicles",Raw_Data!$N$2:$N$307,"Yes",Raw_Data!$C$2:$C$307,$B$3))/1000</f>
        <v>0</v>
      </c>
      <c r="K21" s="10" t="str">
        <f aca="false">IF(I21&gt;0,RANK(I21,$I$6:$I$36)+COUNTIF($I$6:I21,I21)-1,"")</f>
        <v/>
      </c>
    </row>
    <row r="22" customFormat="false" ht="15" hidden="false" customHeight="false" outlineLevel="0" collapsed="false">
      <c r="H22" s="10" t="s">
        <v>99</v>
      </c>
      <c r="I22" s="22" t="n">
        <f aca="false">IF($B$3="All countries",SUMIFS(Raw_Data!$F$2:$F$307,Raw_Data!$J$2:$J$307,H22,Raw_Data!$O$2:$O$307,"Vehicles",Raw_Data!$N$2:$N$307,"Yes"),SUMIFS(Raw_Data!$F$2:$F$307,Raw_Data!$J$2:$J$307,H22,Raw_Data!$O$2:$O$307,"Vehicles",Raw_Data!$N$2:$N$307,"Yes",Raw_Data!$C$2:$C$307,$B$3))</f>
        <v>140</v>
      </c>
      <c r="J22" s="29" t="n">
        <f aca="false">IF($B$3="All countries",SUMIFS(Raw_Data!$P$2:$P$307,Raw_Data!$J$2:$J$307,H22,Raw_Data!$O$2:$O$307,"Vehicles",Raw_Data!$N$2:$N$307,"Yes"),SUMIFS(Raw_Data!$P$2:$P$307,Raw_Data!$J$2:$J$307,H22,Raw_Data!$O$2:$O$307,"Vehicles",Raw_Data!$N$2:$N$307,"Yes",Raw_Data!$C$2:$C$307,$B$3))/1000</f>
        <v>242.158</v>
      </c>
      <c r="K22" s="10" t="n">
        <f aca="false">IF(I22&gt;0,RANK(I22,$I$6:$I$36)+COUNTIF($I$6:I22,I22)-1,"")</f>
        <v>10</v>
      </c>
    </row>
    <row r="23" customFormat="false" ht="15" hidden="false" customHeight="false" outlineLevel="0" collapsed="false">
      <c r="H23" s="10" t="s">
        <v>101</v>
      </c>
      <c r="I23" s="22" t="n">
        <f aca="false">IF($B$3="All countries",SUMIFS(Raw_Data!$F$2:$F$307,Raw_Data!$J$2:$J$307,H23,Raw_Data!$O$2:$O$307,"Vehicles",Raw_Data!$N$2:$N$307,"Yes"),SUMIFS(Raw_Data!$F$2:$F$307,Raw_Data!$J$2:$J$307,H23,Raw_Data!$O$2:$O$307,"Vehicles",Raw_Data!$N$2:$N$307,"Yes",Raw_Data!$C$2:$C$307,$B$3))</f>
        <v>7</v>
      </c>
      <c r="J23" s="29" t="n">
        <f aca="false">IF($B$3="All countries",SUMIFS(Raw_Data!$P$2:$P$307,Raw_Data!$J$2:$J$307,H23,Raw_Data!$O$2:$O$307,"Vehicles",Raw_Data!$N$2:$N$307,"Yes"),SUMIFS(Raw_Data!$P$2:$P$307,Raw_Data!$J$2:$J$307,H23,Raw_Data!$O$2:$O$307,"Vehicles",Raw_Data!$N$2:$N$307,"Yes",Raw_Data!$C$2:$C$307,$B$3))/1000</f>
        <v>84.333</v>
      </c>
      <c r="K23" s="10" t="n">
        <f aca="false">IF(I23&gt;0,RANK(I23,$I$6:$I$36)+COUNTIF($I$6:I23,I23)-1,"")</f>
        <v>16</v>
      </c>
    </row>
    <row r="24" customFormat="false" ht="15" hidden="false" customHeight="false" outlineLevel="0" collapsed="false">
      <c r="H24" s="10" t="s">
        <v>107</v>
      </c>
      <c r="I24" s="22" t="n">
        <f aca="false">IF($B$3="All countries",SUMIFS(Raw_Data!$F$2:$F$307,Raw_Data!$J$2:$J$307,H24,Raw_Data!$O$2:$O$307,"Vehicles",Raw_Data!$N$2:$N$307,"Yes"),SUMIFS(Raw_Data!$F$2:$F$307,Raw_Data!$J$2:$J$307,H24,Raw_Data!$O$2:$O$307,"Vehicles",Raw_Data!$N$2:$N$307,"Yes",Raw_Data!$C$2:$C$307,$B$3))</f>
        <v>267</v>
      </c>
      <c r="J24" s="29" t="n">
        <f aca="false">IF($B$3="All countries",SUMIFS(Raw_Data!$P$2:$P$307,Raw_Data!$J$2:$J$307,H24,Raw_Data!$O$2:$O$307,"Vehicles",Raw_Data!$N$2:$N$307,"Yes"),SUMIFS(Raw_Data!$P$2:$P$307,Raw_Data!$J$2:$J$307,H24,Raw_Data!$O$2:$O$307,"Vehicles",Raw_Data!$N$2:$N$307,"Yes",Raw_Data!$C$2:$C$307,$B$3))/1000</f>
        <v>1100.062</v>
      </c>
      <c r="K24" s="10" t="n">
        <f aca="false">IF(I24&gt;0,RANK(I24,$I$6:$I$36)+COUNTIF($I$6:I24,I24)-1,"")</f>
        <v>1</v>
      </c>
    </row>
    <row r="25" customFormat="false" ht="15" hidden="false" customHeight="false" outlineLevel="0" collapsed="false">
      <c r="H25" s="10" t="s">
        <v>111</v>
      </c>
      <c r="I25" s="22" t="n">
        <f aca="false">IF($B$3="All countries",SUMIFS(Raw_Data!$F$2:$F$307,Raw_Data!$J$2:$J$307,H25,Raw_Data!$O$2:$O$307,"Vehicles",Raw_Data!$N$2:$N$307,"Yes"),SUMIFS(Raw_Data!$F$2:$F$307,Raw_Data!$J$2:$J$307,H25,Raw_Data!$O$2:$O$307,"Vehicles",Raw_Data!$N$2:$N$307,"Yes",Raw_Data!$C$2:$C$307,$B$3))</f>
        <v>189</v>
      </c>
      <c r="J25" s="29" t="n">
        <f aca="false">IF($B$3="All countries",SUMIFS(Raw_Data!$P$2:$P$307,Raw_Data!$J$2:$J$307,H25,Raw_Data!$O$2:$O$307,"Vehicles",Raw_Data!$N$2:$N$307,"Yes"),SUMIFS(Raw_Data!$P$2:$P$307,Raw_Data!$J$2:$J$307,H25,Raw_Data!$O$2:$O$307,"Vehicles",Raw_Data!$N$2:$N$307,"Yes",Raw_Data!$C$2:$C$307,$B$3))/1000</f>
        <v>494.672</v>
      </c>
      <c r="K25" s="10" t="n">
        <f aca="false">IF(I25&gt;0,RANK(I25,$I$6:$I$36)+COUNTIF($I$6:I25,I25)-1,"")</f>
        <v>5</v>
      </c>
    </row>
    <row r="26" customFormat="false" ht="15" hidden="false" customHeight="false" outlineLevel="0" collapsed="false">
      <c r="H26" s="10" t="s">
        <v>113</v>
      </c>
      <c r="I26" s="22" t="n">
        <f aca="false">IF($B$3="All countries",SUMIFS(Raw_Data!$F$2:$F$307,Raw_Data!$J$2:$J$307,H26,Raw_Data!$O$2:$O$307,"Vehicles",Raw_Data!$N$2:$N$307,"Yes"),SUMIFS(Raw_Data!$F$2:$F$307,Raw_Data!$J$2:$J$307,H26,Raw_Data!$O$2:$O$307,"Vehicles",Raw_Data!$N$2:$N$307,"Yes",Raw_Data!$C$2:$C$307,$B$3))</f>
        <v>161</v>
      </c>
      <c r="J26" s="29" t="n">
        <f aca="false">IF($B$3="All countries",SUMIFS(Raw_Data!$P$2:$P$307,Raw_Data!$J$2:$J$307,H26,Raw_Data!$O$2:$O$307,"Vehicles",Raw_Data!$N$2:$N$307,"Yes"),SUMIFS(Raw_Data!$P$2:$P$307,Raw_Data!$J$2:$J$307,H26,Raw_Data!$O$2:$O$307,"Vehicles",Raw_Data!$N$2:$N$307,"Yes",Raw_Data!$C$2:$C$307,$B$3))/1000</f>
        <v>408.196</v>
      </c>
      <c r="K26" s="10" t="n">
        <f aca="false">IF(I26&gt;0,RANK(I26,$I$6:$I$36)+COUNTIF($I$6:I26,I26)-1,"")</f>
        <v>7</v>
      </c>
    </row>
    <row r="27" customFormat="false" ht="15" hidden="false" customHeight="false" outlineLevel="0" collapsed="false">
      <c r="H27" s="10" t="s">
        <v>119</v>
      </c>
      <c r="I27" s="22" t="n">
        <f aca="false">IF($B$3="All countries",SUMIFS(Raw_Data!$F$2:$F$307,Raw_Data!$J$2:$J$307,H27,Raw_Data!$O$2:$O$307,"Vehicles",Raw_Data!$N$2:$N$307,"Yes"),SUMIFS(Raw_Data!$F$2:$F$307,Raw_Data!$J$2:$J$307,H27,Raw_Data!$O$2:$O$307,"Vehicles",Raw_Data!$N$2:$N$307,"Yes",Raw_Data!$C$2:$C$307,$B$3))</f>
        <v>150</v>
      </c>
      <c r="J27" s="29" t="n">
        <f aca="false">IF($B$3="All countries",SUMIFS(Raw_Data!$P$2:$P$307,Raw_Data!$J$2:$J$307,H27,Raw_Data!$O$2:$O$307,"Vehicles",Raw_Data!$N$2:$N$307,"Yes"),SUMIFS(Raw_Data!$P$2:$P$307,Raw_Data!$J$2:$J$307,H27,Raw_Data!$O$2:$O$307,"Vehicles",Raw_Data!$N$2:$N$307,"Yes",Raw_Data!$C$2:$C$307,$B$3))/1000</f>
        <v>529.284</v>
      </c>
      <c r="K27" s="10" t="n">
        <f aca="false">IF(I27&gt;0,RANK(I27,$I$6:$I$36)+COUNTIF($I$6:I27,I27)-1,"")</f>
        <v>8</v>
      </c>
    </row>
    <row r="28" customFormat="false" ht="15" hidden="false" customHeight="false" outlineLevel="0" collapsed="false">
      <c r="H28" s="10" t="s">
        <v>121</v>
      </c>
      <c r="I28" s="22" t="n">
        <f aca="false">IF($B$3="All countries",SUMIFS(Raw_Data!$F$2:$F$307,Raw_Data!$J$2:$J$307,H28,Raw_Data!$O$2:$O$307,"Vehicles",Raw_Data!$N$2:$N$307,"Yes"),SUMIFS(Raw_Data!$F$2:$F$307,Raw_Data!$J$2:$J$307,H28,Raw_Data!$O$2:$O$307,"Vehicles",Raw_Data!$N$2:$N$307,"Yes",Raw_Data!$C$2:$C$307,$B$3))</f>
        <v>0</v>
      </c>
      <c r="J28" s="29" t="n">
        <f aca="false">IF($B$3="All countries",SUMIFS(Raw_Data!$P$2:$P$307,Raw_Data!$J$2:$J$307,H28,Raw_Data!$O$2:$O$307,"Vehicles",Raw_Data!$N$2:$N$307,"Yes"),SUMIFS(Raw_Data!$P$2:$P$307,Raw_Data!$J$2:$J$307,H28,Raw_Data!$O$2:$O$307,"Vehicles",Raw_Data!$N$2:$N$307,"Yes",Raw_Data!$C$2:$C$307,$B$3))/1000</f>
        <v>0</v>
      </c>
      <c r="K28" s="10" t="str">
        <f aca="false">IF(I28&gt;0,RANK(I28,$I$6:$I$36)+COUNTIF($I$6:I28,I28)-1,"")</f>
        <v/>
      </c>
    </row>
    <row r="29" customFormat="false" ht="15" hidden="false" customHeight="false" outlineLevel="0" collapsed="false">
      <c r="H29" s="10" t="s">
        <v>126</v>
      </c>
      <c r="I29" s="22" t="n">
        <f aca="false">IF($B$3="All countries",SUMIFS(Raw_Data!$F$2:$F$307,Raw_Data!$J$2:$J$307,H29,Raw_Data!$O$2:$O$307,"Vehicles",Raw_Data!$N$2:$N$307,"Yes"),SUMIFS(Raw_Data!$F$2:$F$307,Raw_Data!$J$2:$J$307,H29,Raw_Data!$O$2:$O$307,"Vehicles",Raw_Data!$N$2:$N$307,"Yes",Raw_Data!$C$2:$C$307,$B$3))</f>
        <v>0</v>
      </c>
      <c r="J29" s="29" t="n">
        <f aca="false">IF($B$3="All countries",SUMIFS(Raw_Data!$P$2:$P$307,Raw_Data!$J$2:$J$307,H29,Raw_Data!$O$2:$O$307,"Vehicles",Raw_Data!$N$2:$N$307,"Yes"),SUMIFS(Raw_Data!$P$2:$P$307,Raw_Data!$J$2:$J$307,H29,Raw_Data!$O$2:$O$307,"Vehicles",Raw_Data!$N$2:$N$307,"Yes",Raw_Data!$C$2:$C$307,$B$3))/1000</f>
        <v>0</v>
      </c>
      <c r="K29" s="10" t="str">
        <f aca="false">IF(I29&gt;0,RANK(I29,$I$6:$I$36)+COUNTIF($I$6:I29,I29)-1,"")</f>
        <v/>
      </c>
    </row>
    <row r="30" customFormat="false" ht="15" hidden="false" customHeight="false" outlineLevel="0" collapsed="false">
      <c r="H30" s="10" t="s">
        <v>129</v>
      </c>
      <c r="I30" s="22" t="n">
        <f aca="false">IF($B$3="All countries",SUMIFS(Raw_Data!$F$2:$F$307,Raw_Data!$J$2:$J$307,H30,Raw_Data!$O$2:$O$307,"Vehicles",Raw_Data!$N$2:$N$307,"Yes"),SUMIFS(Raw_Data!$F$2:$F$307,Raw_Data!$J$2:$J$307,H30,Raw_Data!$O$2:$O$307,"Vehicles",Raw_Data!$N$2:$N$307,"Yes",Raw_Data!$C$2:$C$307,$B$3))</f>
        <v>0</v>
      </c>
      <c r="J30" s="29" t="n">
        <f aca="false">IF($B$3="All countries",SUMIFS(Raw_Data!$P$2:$P$307,Raw_Data!$J$2:$J$307,H30,Raw_Data!$O$2:$O$307,"Vehicles",Raw_Data!$N$2:$N$307,"Yes"),SUMIFS(Raw_Data!$P$2:$P$307,Raw_Data!$J$2:$J$307,H30,Raw_Data!$O$2:$O$307,"Vehicles",Raw_Data!$N$2:$N$307,"Yes",Raw_Data!$C$2:$C$307,$B$3))/1000</f>
        <v>0</v>
      </c>
      <c r="K30" s="10" t="str">
        <f aca="false">IF(I30&gt;0,RANK(I30,$I$6:$I$36)+COUNTIF($I$6:I30,I30)-1,"")</f>
        <v/>
      </c>
    </row>
    <row r="31" customFormat="false" ht="15" hidden="false" customHeight="false" outlineLevel="0" collapsed="false">
      <c r="H31" s="10" t="s">
        <v>133</v>
      </c>
      <c r="I31" s="22" t="n">
        <f aca="false">IF($B$3="All countries",SUMIFS(Raw_Data!$F$2:$F$307,Raw_Data!$J$2:$J$307,H31,Raw_Data!$O$2:$O$307,"Vehicles",Raw_Data!$N$2:$N$307,"Yes"),SUMIFS(Raw_Data!$F$2:$F$307,Raw_Data!$J$2:$J$307,H31,Raw_Data!$O$2:$O$307,"Vehicles",Raw_Data!$N$2:$N$307,"Yes",Raw_Data!$C$2:$C$307,$B$3))</f>
        <v>0</v>
      </c>
      <c r="J31" s="29" t="n">
        <f aca="false">IF($B$3="All countries",SUMIFS(Raw_Data!$P$2:$P$307,Raw_Data!$J$2:$J$307,H31,Raw_Data!$O$2:$O$307,"Vehicles",Raw_Data!$N$2:$N$307,"Yes"),SUMIFS(Raw_Data!$P$2:$P$307,Raw_Data!$J$2:$J$307,H31,Raw_Data!$O$2:$O$307,"Vehicles",Raw_Data!$N$2:$N$307,"Yes",Raw_Data!$C$2:$C$307,$B$3))/1000</f>
        <v>0</v>
      </c>
      <c r="K31" s="10" t="str">
        <f aca="false">IF(I31&gt;0,RANK(I31,$I$6:$I$36)+COUNTIF($I$6:I31,I31)-1,"")</f>
        <v/>
      </c>
    </row>
    <row r="32" customFormat="false" ht="15" hidden="false" customHeight="false" outlineLevel="0" collapsed="false">
      <c r="H32" s="10" t="s">
        <v>131</v>
      </c>
      <c r="I32" s="22" t="n">
        <f aca="false">IF($B$3="All countries",SUMIFS(Raw_Data!$F$2:$F$307,Raw_Data!$J$2:$J$307,H32,Raw_Data!$O$2:$O$307,"Vehicles",Raw_Data!$N$2:$N$307,"Yes"),SUMIFS(Raw_Data!$F$2:$F$307,Raw_Data!$J$2:$J$307,H32,Raw_Data!$O$2:$O$307,"Vehicles",Raw_Data!$N$2:$N$307,"Yes",Raw_Data!$C$2:$C$307,$B$3))</f>
        <v>78</v>
      </c>
      <c r="J32" s="29" t="n">
        <f aca="false">IF($B$3="All countries",SUMIFS(Raw_Data!$P$2:$P$307,Raw_Data!$J$2:$J$307,H32,Raw_Data!$O$2:$O$307,"Vehicles",Raw_Data!$N$2:$N$307,"Yes"),SUMIFS(Raw_Data!$P$2:$P$307,Raw_Data!$J$2:$J$307,H32,Raw_Data!$O$2:$O$307,"Vehicles",Raw_Data!$N$2:$N$307,"Yes",Raw_Data!$C$2:$C$307,$B$3))/1000</f>
        <v>207.157</v>
      </c>
      <c r="K32" s="10" t="n">
        <f aca="false">IF(I32&gt;0,RANK(I32,$I$6:$I$36)+COUNTIF($I$6:I32,I32)-1,"")</f>
        <v>15</v>
      </c>
    </row>
    <row r="33" customFormat="false" ht="15" hidden="false" customHeight="false" outlineLevel="0" collapsed="false">
      <c r="H33" s="10" t="s">
        <v>135</v>
      </c>
      <c r="I33" s="22" t="n">
        <f aca="false">IF($B$3="All countries",SUMIFS(Raw_Data!$F$2:$F$307,Raw_Data!$J$2:$J$307,H33,Raw_Data!$O$2:$O$307,"Vehicles",Raw_Data!$N$2:$N$307,"Yes"),SUMIFS(Raw_Data!$F$2:$F$307,Raw_Data!$J$2:$J$307,H33,Raw_Data!$O$2:$O$307,"Vehicles",Raw_Data!$N$2:$N$307,"Yes",Raw_Data!$C$2:$C$307,$B$3))</f>
        <v>0</v>
      </c>
      <c r="J33" s="29" t="n">
        <f aca="false">IF($B$3="All countries",SUMIFS(Raw_Data!$P$2:$P$307,Raw_Data!$J$2:$J$307,H33,Raw_Data!$O$2:$O$307,"Vehicles",Raw_Data!$N$2:$N$307,"Yes"),SUMIFS(Raw_Data!$P$2:$P$307,Raw_Data!$J$2:$J$307,H33,Raw_Data!$O$2:$O$307,"Vehicles",Raw_Data!$N$2:$N$307,"Yes",Raw_Data!$C$2:$C$307,$B$3))/1000</f>
        <v>0</v>
      </c>
      <c r="K33" s="10" t="str">
        <f aca="false">IF(I33&gt;0,RANK(I33,$I$6:$I$36)+COUNTIF($I$6:I33,I33)-1,"")</f>
        <v/>
      </c>
    </row>
    <row r="34" customFormat="false" ht="15" hidden="false" customHeight="false" outlineLevel="0" collapsed="false">
      <c r="H34" s="10" t="s">
        <v>138</v>
      </c>
      <c r="I34" s="22" t="n">
        <f aca="false">IF($B$3="All countries",SUMIFS(Raw_Data!$F$2:$F$307,Raw_Data!$J$2:$J$307,H34,Raw_Data!$O$2:$O$307,"Vehicles",Raw_Data!$N$2:$N$307,"Yes"),SUMIFS(Raw_Data!$F$2:$F$307,Raw_Data!$J$2:$J$307,H34,Raw_Data!$O$2:$O$307,"Vehicles",Raw_Data!$N$2:$N$307,"Yes",Raw_Data!$C$2:$C$307,$B$3))</f>
        <v>250</v>
      </c>
      <c r="J34" s="29" t="n">
        <f aca="false">IF($B$3="All countries",SUMIFS(Raw_Data!$P$2:$P$307,Raw_Data!$J$2:$J$307,H34,Raw_Data!$O$2:$O$307,"Vehicles",Raw_Data!$N$2:$N$307,"Yes"),SUMIFS(Raw_Data!$P$2:$P$307,Raw_Data!$J$2:$J$307,H34,Raw_Data!$O$2:$O$307,"Vehicles",Raw_Data!$N$2:$N$307,"Yes",Raw_Data!$C$2:$C$307,$B$3))/1000</f>
        <v>709.753</v>
      </c>
      <c r="K34" s="10" t="n">
        <f aca="false">IF(I34&gt;0,RANK(I34,$I$6:$I$36)+COUNTIF($I$6:I34,I34)-1,"")</f>
        <v>2</v>
      </c>
    </row>
    <row r="35" customFormat="false" ht="15" hidden="false" customHeight="false" outlineLevel="0" collapsed="false">
      <c r="H35" s="10" t="s">
        <v>142</v>
      </c>
      <c r="I35" s="22" t="n">
        <f aca="false">IF($B$3="All countries",SUMIFS(Raw_Data!$F$2:$F$307,Raw_Data!$J$2:$J$307,H35,Raw_Data!$O$2:$O$307,"Vehicles",Raw_Data!$N$2:$N$307,"Yes"),SUMIFS(Raw_Data!$F$2:$F$307,Raw_Data!$J$2:$J$307,H35,Raw_Data!$O$2:$O$307,"Vehicles",Raw_Data!$N$2:$N$307,"Yes",Raw_Data!$C$2:$C$307,$B$3))</f>
        <v>190</v>
      </c>
      <c r="J35" s="29" t="n">
        <f aca="false">IF($B$3="All countries",SUMIFS(Raw_Data!$P$2:$P$307,Raw_Data!$J$2:$J$307,H35,Raw_Data!$O$2:$O$307,"Vehicles",Raw_Data!$N$2:$N$307,"Yes"),SUMIFS(Raw_Data!$P$2:$P$307,Raw_Data!$J$2:$J$307,H35,Raw_Data!$O$2:$O$307,"Vehicles",Raw_Data!$N$2:$N$307,"Yes",Raw_Data!$C$2:$C$307,$B$3))/1000</f>
        <v>551.907</v>
      </c>
      <c r="K35" s="10" t="n">
        <f aca="false">IF(I35&gt;0,RANK(I35,$I$6:$I$36)+COUNTIF($I$6:I35,I35)-1,"")</f>
        <v>4</v>
      </c>
    </row>
    <row r="36" customFormat="false" ht="15" hidden="false" customHeight="false" outlineLevel="0" collapsed="false">
      <c r="H36" s="10" t="s">
        <v>146</v>
      </c>
      <c r="I36" s="22" t="n">
        <f aca="false">IF($B$3="All countries",SUMIFS(Raw_Data!$F$2:$F$307,Raw_Data!$J$2:$J$307,H36,Raw_Data!$O$2:$O$307,"Vehicles",Raw_Data!$N$2:$N$307,"Yes"),SUMIFS(Raw_Data!$F$2:$F$307,Raw_Data!$J$2:$J$307,H36,Raw_Data!$O$2:$O$307,"Vehicles",Raw_Data!$N$2:$N$307,"Yes",Raw_Data!$C$2:$C$307,$B$3))</f>
        <v>0</v>
      </c>
      <c r="J36" s="29" t="n">
        <f aca="false">IF($B$3="All countries",SUMIFS(Raw_Data!$P$2:$P$307,Raw_Data!$J$2:$J$307,H36,Raw_Data!$O$2:$O$307,"Vehicles",Raw_Data!$N$2:$N$307,"Yes"),SUMIFS(Raw_Data!$P$2:$P$307,Raw_Data!$J$2:$J$307,H36,Raw_Data!$O$2:$O$307,"Vehicles",Raw_Data!$N$2:$N$307,"Yes",Raw_Data!$C$2:$C$307,$B$3))/1000</f>
        <v>0</v>
      </c>
      <c r="K36" s="10" t="str">
        <f aca="false">IF(I36&gt;0,RANK(I36,$I$6:$I$36)+COUNTIF($I$6:I36,I36)-1,"")</f>
        <v/>
      </c>
    </row>
  </sheetData>
  <dataValidations count="1">
    <dataValidation allowBlank="false" errorStyle="stop" operator="between" showDropDown="false" showErrorMessage="false" showInputMessage="false" sqref="B3" type="list">
      <formula1>"All countries,Chile,Colombia,Peru,Ecuador,Dominican Republic,Panama"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3"/>
    <col collapsed="false" customWidth="true" hidden="false" outlineLevel="0" max="8" min="8" style="0" width="38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7"/>
  </cols>
  <sheetData>
    <row r="1" customFormat="false" ht="16.15" hidden="false" customHeight="false" outlineLevel="0" collapsed="false">
      <c r="A1" s="6" t="s">
        <v>422</v>
      </c>
    </row>
    <row r="2" customFormat="false" ht="15" hidden="false" customHeight="false" outlineLevel="0" collapsed="false">
      <c r="A2" s="9" t="s">
        <v>408</v>
      </c>
    </row>
    <row r="3" customFormat="false" ht="15" hidden="false" customHeight="false" outlineLevel="0" collapsed="false">
      <c r="A3" s="7" t="s">
        <v>409</v>
      </c>
      <c r="B3" s="23" t="s">
        <v>410</v>
      </c>
    </row>
    <row r="4" customFormat="false" ht="15" hidden="false" customHeight="false" outlineLevel="0" collapsed="false">
      <c r="H4" s="24" t="s">
        <v>411</v>
      </c>
    </row>
    <row r="5" customFormat="false" ht="15" hidden="false" customHeight="false" outlineLevel="0" collapsed="false">
      <c r="A5" s="25" t="s">
        <v>412</v>
      </c>
      <c r="B5" s="25" t="s">
        <v>413</v>
      </c>
      <c r="C5" s="25" t="s">
        <v>414</v>
      </c>
      <c r="D5" s="25" t="s">
        <v>415</v>
      </c>
      <c r="E5" s="25" t="s">
        <v>416</v>
      </c>
      <c r="H5" s="26" t="s">
        <v>417</v>
      </c>
      <c r="I5" s="26" t="s">
        <v>414</v>
      </c>
      <c r="J5" s="26" t="s">
        <v>415</v>
      </c>
      <c r="K5" s="26" t="s">
        <v>412</v>
      </c>
    </row>
    <row r="6" customFormat="false" ht="15" hidden="false" customHeight="false" outlineLevel="0" collapsed="false">
      <c r="A6" s="27" t="n">
        <v>1</v>
      </c>
      <c r="B6" s="27" t="str">
        <f aca="false">IFERROR(INDEX($H$6:$H$36,MATCH(A6,$K$6:$K$36,0)),"")</f>
        <v>Equinoccio Maquinaria S.A.</v>
      </c>
      <c r="C6" s="14" t="n">
        <f aca="false">IFERROR(INDEX($I$6:$I$36,MATCH(A6,$K$6:$K$36,0)),"")</f>
        <v>18</v>
      </c>
      <c r="D6" s="28" t="n">
        <f aca="false">IFERROR(INDEX($J$6:$J$36,MATCH(A6,$K$6:$K$36,0)),"")</f>
        <v>614.316</v>
      </c>
      <c r="E6" s="15" t="n">
        <f aca="false">IF(C6="","",C6/$C$18)</f>
        <v>0.144</v>
      </c>
      <c r="H6" s="10" t="s">
        <v>48</v>
      </c>
      <c r="I6" s="22" t="n">
        <f aca="false">IF($B$3="All countries",SUMIFS(Raw_Data!$F$2:$F$307,Raw_Data!$J$2:$J$307,H6,Raw_Data!$O$2:$O$307,"H&amp;H",Raw_Data!$N$2:$N$307,"Yes"),SUMIFS(Raw_Data!$F$2:$F$307,Raw_Data!$J$2:$J$307,H6,Raw_Data!$O$2:$O$307,"H&amp;H",Raw_Data!$N$2:$N$307,"Yes",Raw_Data!$C$2:$C$307,$B$3))</f>
        <v>10</v>
      </c>
      <c r="J6" s="29" t="n">
        <f aca="false">IF($B$3="All countries",SUMIFS(Raw_Data!$P$2:$P$307,Raw_Data!$J$2:$J$307,H6,Raw_Data!$O$2:$O$307,"H&amp;H",Raw_Data!$N$2:$N$307,"Yes"),SUMIFS(Raw_Data!$P$2:$P$307,Raw_Data!$J$2:$J$307,H6,Raw_Data!$O$2:$O$307,"H&amp;H",Raw_Data!$N$2:$N$307,"Yes",Raw_Data!$C$2:$C$307,$B$3))/1000</f>
        <v>550.482</v>
      </c>
      <c r="K6" s="10" t="n">
        <f aca="false">IF(I6&gt;0,RANK(I6,$I$6:$I$36)+COUNTIF($I$6:I6,I6)-1,"")</f>
        <v>3</v>
      </c>
    </row>
    <row r="7" customFormat="false" ht="15" hidden="false" customHeight="false" outlineLevel="0" collapsed="false">
      <c r="A7" s="30" t="n">
        <v>2</v>
      </c>
      <c r="B7" s="30" t="str">
        <f aca="false">IFERROR(INDEX($H$6:$H$36,MATCH(A7,$K$6:$K$36,0)),"")</f>
        <v>Antillas Cargo Logistics S.R.L.</v>
      </c>
      <c r="C7" s="31" t="n">
        <f aca="false">IFERROR(INDEX($I$6:$I$36,MATCH(A7,$K$6:$K$36,0)),"")</f>
        <v>16</v>
      </c>
      <c r="D7" s="32" t="n">
        <f aca="false">IFERROR(INDEX($J$6:$J$36,MATCH(A7,$K$6:$K$36,0)),"")</f>
        <v>660.571</v>
      </c>
      <c r="E7" s="33" t="n">
        <f aca="false">IF(C7="","",C7/$C$18)</f>
        <v>0.128</v>
      </c>
      <c r="H7" s="10" t="s">
        <v>50</v>
      </c>
      <c r="I7" s="22" t="n">
        <f aca="false">IF($B$3="All countries",SUMIFS(Raw_Data!$F$2:$F$307,Raw_Data!$J$2:$J$307,H7,Raw_Data!$O$2:$O$307,"H&amp;H",Raw_Data!$N$2:$N$307,"Yes"),SUMIFS(Raw_Data!$F$2:$F$307,Raw_Data!$J$2:$J$307,H7,Raw_Data!$O$2:$O$307,"H&amp;H",Raw_Data!$N$2:$N$307,"Yes",Raw_Data!$C$2:$C$307,$B$3))</f>
        <v>0</v>
      </c>
      <c r="J7" s="29" t="n">
        <f aca="false">IF($B$3="All countries",SUMIFS(Raw_Data!$P$2:$P$307,Raw_Data!$J$2:$J$307,H7,Raw_Data!$O$2:$O$307,"H&amp;H",Raw_Data!$N$2:$N$307,"Yes"),SUMIFS(Raw_Data!$P$2:$P$307,Raw_Data!$J$2:$J$307,H7,Raw_Data!$O$2:$O$307,"H&amp;H",Raw_Data!$N$2:$N$307,"Yes",Raw_Data!$C$2:$C$307,$B$3))/1000</f>
        <v>0</v>
      </c>
      <c r="K7" s="10" t="str">
        <f aca="false">IF(I7&gt;0,RANK(I7,$I$6:$I$36)+COUNTIF($I$6:I7,I7)-1,"")</f>
        <v/>
      </c>
    </row>
    <row r="8" customFormat="false" ht="15" hidden="false" customHeight="false" outlineLevel="0" collapsed="false">
      <c r="A8" s="27" t="n">
        <v>3</v>
      </c>
      <c r="B8" s="27" t="str">
        <f aca="false">IFERROR(INDEX($H$6:$H$36,MATCH(A8,$K$6:$K$36,0)),"")</f>
        <v>Altiplano Trucks S.A.C.</v>
      </c>
      <c r="C8" s="14" t="n">
        <f aca="false">IFERROR(INDEX($I$6:$I$36,MATCH(A8,$K$6:$K$36,0)),"")</f>
        <v>10</v>
      </c>
      <c r="D8" s="28" t="n">
        <f aca="false">IFERROR(INDEX($J$6:$J$36,MATCH(A8,$K$6:$K$36,0)),"")</f>
        <v>550.482</v>
      </c>
      <c r="E8" s="15" t="n">
        <f aca="false">IF(C8="","",C8/$C$18)</f>
        <v>0.08</v>
      </c>
      <c r="H8" s="10" t="s">
        <v>52</v>
      </c>
      <c r="I8" s="22" t="n">
        <f aca="false">IF($B$3="All countries",SUMIFS(Raw_Data!$F$2:$F$307,Raw_Data!$J$2:$J$307,H8,Raw_Data!$O$2:$O$307,"H&amp;H",Raw_Data!$N$2:$N$307,"Yes"),SUMIFS(Raw_Data!$F$2:$F$307,Raw_Data!$J$2:$J$307,H8,Raw_Data!$O$2:$O$307,"H&amp;H",Raw_Data!$N$2:$N$307,"Yes",Raw_Data!$C$2:$C$307,$B$3))</f>
        <v>16</v>
      </c>
      <c r="J8" s="29" t="n">
        <f aca="false">IF($B$3="All countries",SUMIFS(Raw_Data!$P$2:$P$307,Raw_Data!$J$2:$J$307,H8,Raw_Data!$O$2:$O$307,"H&amp;H",Raw_Data!$N$2:$N$307,"Yes"),SUMIFS(Raw_Data!$P$2:$P$307,Raw_Data!$J$2:$J$307,H8,Raw_Data!$O$2:$O$307,"H&amp;H",Raw_Data!$N$2:$N$307,"Yes",Raw_Data!$C$2:$C$307,$B$3))/1000</f>
        <v>660.571</v>
      </c>
      <c r="K8" s="10" t="n">
        <f aca="false">IF(I8&gt;0,RANK(I8,$I$6:$I$36)+COUNTIF($I$6:I8,I8)-1,"")</f>
        <v>2</v>
      </c>
    </row>
    <row r="9" customFormat="false" ht="15" hidden="false" customHeight="false" outlineLevel="0" collapsed="false">
      <c r="A9" s="30" t="n">
        <v>4</v>
      </c>
      <c r="B9" s="30" t="str">
        <f aca="false">IFERROR(INDEX($H$6:$H$36,MATCH(A9,$K$6:$K$36,0)),"")</f>
        <v>Chiriqui Agro Machinery S.A.</v>
      </c>
      <c r="C9" s="31" t="n">
        <f aca="false">IFERROR(INDEX($I$6:$I$36,MATCH(A9,$K$6:$K$36,0)),"")</f>
        <v>10</v>
      </c>
      <c r="D9" s="32" t="n">
        <f aca="false">IFERROR(INDEX($J$6:$J$36,MATCH(A9,$K$6:$K$36,0)),"")</f>
        <v>398.389</v>
      </c>
      <c r="E9" s="33" t="n">
        <f aca="false">IF(C9="","",C9/$C$18)</f>
        <v>0.08</v>
      </c>
      <c r="H9" s="10" t="s">
        <v>54</v>
      </c>
      <c r="I9" s="22" t="n">
        <f aca="false">IF($B$3="All countries",SUMIFS(Raw_Data!$F$2:$F$307,Raw_Data!$J$2:$J$307,H9,Raw_Data!$O$2:$O$307,"H&amp;H",Raw_Data!$N$2:$N$307,"Yes"),SUMIFS(Raw_Data!$F$2:$F$307,Raw_Data!$J$2:$J$307,H9,Raw_Data!$O$2:$O$307,"H&amp;H",Raw_Data!$N$2:$N$307,"Yes",Raw_Data!$C$2:$C$307,$B$3))</f>
        <v>8</v>
      </c>
      <c r="J9" s="29" t="n">
        <f aca="false">IF($B$3="All countries",SUMIFS(Raw_Data!$P$2:$P$307,Raw_Data!$J$2:$J$307,H9,Raw_Data!$O$2:$O$307,"H&amp;H",Raw_Data!$N$2:$N$307,"Yes"),SUMIFS(Raw_Data!$P$2:$P$307,Raw_Data!$J$2:$J$307,H9,Raw_Data!$O$2:$O$307,"H&amp;H",Raw_Data!$N$2:$N$307,"Yes",Raw_Data!$C$2:$C$307,$B$3))/1000</f>
        <v>292.203</v>
      </c>
      <c r="K9" s="10" t="n">
        <f aca="false">IF(I9&gt;0,RANK(I9,$I$6:$I$36)+COUNTIF($I$6:I9,I9)-1,"")</f>
        <v>6</v>
      </c>
    </row>
    <row r="10" customFormat="false" ht="15" hidden="false" customHeight="false" outlineLevel="0" collapsed="false">
      <c r="A10" s="27" t="n">
        <v>5</v>
      </c>
      <c r="B10" s="27" t="str">
        <f aca="false">IFERROR(INDEX($H$6:$H$36,MATCH(A10,$K$6:$K$36,0)),"")</f>
        <v>Colon Free Zone Traders S.A.</v>
      </c>
      <c r="C10" s="14" t="n">
        <f aca="false">IFERROR(INDEX($I$6:$I$36,MATCH(A10,$K$6:$K$36,0)),"")</f>
        <v>9</v>
      </c>
      <c r="D10" s="28" t="n">
        <f aca="false">IFERROR(INDEX($J$6:$J$36,MATCH(A10,$K$6:$K$36,0)),"")</f>
        <v>245.89</v>
      </c>
      <c r="E10" s="15" t="n">
        <f aca="false">IF(C10="","",C10/$C$18)</f>
        <v>0.072</v>
      </c>
      <c r="H10" s="10" t="s">
        <v>56</v>
      </c>
      <c r="I10" s="22" t="n">
        <f aca="false">IF($B$3="All countries",SUMIFS(Raw_Data!$F$2:$F$307,Raw_Data!$J$2:$J$307,H10,Raw_Data!$O$2:$O$307,"H&amp;H",Raw_Data!$N$2:$N$307,"Yes"),SUMIFS(Raw_Data!$F$2:$F$307,Raw_Data!$J$2:$J$307,H10,Raw_Data!$O$2:$O$307,"H&amp;H",Raw_Data!$N$2:$N$307,"Yes",Raw_Data!$C$2:$C$307,$B$3))</f>
        <v>8</v>
      </c>
      <c r="J10" s="29" t="n">
        <f aca="false">IF($B$3="All countries",SUMIFS(Raw_Data!$P$2:$P$307,Raw_Data!$J$2:$J$307,H10,Raw_Data!$O$2:$O$307,"H&amp;H",Raw_Data!$N$2:$N$307,"Yes"),SUMIFS(Raw_Data!$P$2:$P$307,Raw_Data!$J$2:$J$307,H10,Raw_Data!$O$2:$O$307,"H&amp;H",Raw_Data!$N$2:$N$307,"Yes",Raw_Data!$C$2:$C$307,$B$3))/1000</f>
        <v>259.274</v>
      </c>
      <c r="K10" s="10" t="n">
        <f aca="false">IF(I10&gt;0,RANK(I10,$I$6:$I$36)+COUNTIF($I$6:I10,I10)-1,"")</f>
        <v>7</v>
      </c>
    </row>
    <row r="11" customFormat="false" ht="15" hidden="false" customHeight="false" outlineLevel="0" collapsed="false">
      <c r="A11" s="30" t="n">
        <v>6</v>
      </c>
      <c r="B11" s="30" t="str">
        <f aca="false">IFERROR(INDEX($H$6:$H$36,MATCH(A11,$K$6:$K$36,0)),"")</f>
        <v>Atacama Equipos Mineros S.A.</v>
      </c>
      <c r="C11" s="31" t="n">
        <f aca="false">IFERROR(INDEX($I$6:$I$36,MATCH(A11,$K$6:$K$36,0)),"")</f>
        <v>8</v>
      </c>
      <c r="D11" s="32" t="n">
        <f aca="false">IFERROR(INDEX($J$6:$J$36,MATCH(A11,$K$6:$K$36,0)),"")</f>
        <v>292.203</v>
      </c>
      <c r="E11" s="33" t="n">
        <f aca="false">IF(C11="","",C11/$C$18)</f>
        <v>0.064</v>
      </c>
      <c r="H11" s="10" t="s">
        <v>58</v>
      </c>
      <c r="I11" s="22" t="n">
        <f aca="false">IF($B$3="All countries",SUMIFS(Raw_Data!$F$2:$F$307,Raw_Data!$J$2:$J$307,H11,Raw_Data!$O$2:$O$307,"H&amp;H",Raw_Data!$N$2:$N$307,"Yes"),SUMIFS(Raw_Data!$F$2:$F$307,Raw_Data!$J$2:$J$307,H11,Raw_Data!$O$2:$O$307,"H&amp;H",Raw_Data!$N$2:$N$307,"Yes",Raw_Data!$C$2:$C$307,$B$3))</f>
        <v>0</v>
      </c>
      <c r="J11" s="29" t="n">
        <f aca="false">IF($B$3="All countries",SUMIFS(Raw_Data!$P$2:$P$307,Raw_Data!$J$2:$J$307,H11,Raw_Data!$O$2:$O$307,"H&amp;H",Raw_Data!$N$2:$N$307,"Yes"),SUMIFS(Raw_Data!$P$2:$P$307,Raw_Data!$J$2:$J$307,H11,Raw_Data!$O$2:$O$307,"H&amp;H",Raw_Data!$N$2:$N$307,"Yes",Raw_Data!$C$2:$C$307,$B$3))/1000</f>
        <v>0</v>
      </c>
      <c r="K11" s="10" t="str">
        <f aca="false">IF(I11&gt;0,RANK(I11,$I$6:$I$36)+COUNTIF($I$6:I11,I11)-1,"")</f>
        <v/>
      </c>
    </row>
    <row r="12" customFormat="false" ht="15" hidden="false" customHeight="false" outlineLevel="0" collapsed="false">
      <c r="A12" s="27" t="n">
        <v>7</v>
      </c>
      <c r="B12" s="27" t="str">
        <f aca="false">IFERROR(INDEX($H$6:$H$36,MATCH(A12,$K$6:$K$36,0)),"")</f>
        <v>Austral Truck Center SpA</v>
      </c>
      <c r="C12" s="14" t="n">
        <f aca="false">IFERROR(INDEX($I$6:$I$36,MATCH(A12,$K$6:$K$36,0)),"")</f>
        <v>8</v>
      </c>
      <c r="D12" s="28" t="n">
        <f aca="false">IFERROR(INDEX($J$6:$J$36,MATCH(A12,$K$6:$K$36,0)),"")</f>
        <v>259.274</v>
      </c>
      <c r="E12" s="15" t="n">
        <f aca="false">IF(C12="","",C12/$C$18)</f>
        <v>0.064</v>
      </c>
      <c r="H12" s="10" t="s">
        <v>70</v>
      </c>
      <c r="I12" s="22" t="n">
        <f aca="false">IF($B$3="All countries",SUMIFS(Raw_Data!$F$2:$F$307,Raw_Data!$J$2:$J$307,H12,Raw_Data!$O$2:$O$307,"H&amp;H",Raw_Data!$N$2:$N$307,"Yes"),SUMIFS(Raw_Data!$F$2:$F$307,Raw_Data!$J$2:$J$307,H12,Raw_Data!$O$2:$O$307,"H&amp;H",Raw_Data!$N$2:$N$307,"Yes",Raw_Data!$C$2:$C$307,$B$3))</f>
        <v>0</v>
      </c>
      <c r="J12" s="29" t="n">
        <f aca="false">IF($B$3="All countries",SUMIFS(Raw_Data!$P$2:$P$307,Raw_Data!$J$2:$J$307,H12,Raw_Data!$O$2:$O$307,"H&amp;H",Raw_Data!$N$2:$N$307,"Yes"),SUMIFS(Raw_Data!$P$2:$P$307,Raw_Data!$J$2:$J$307,H12,Raw_Data!$O$2:$O$307,"H&amp;H",Raw_Data!$N$2:$N$307,"Yes",Raw_Data!$C$2:$C$307,$B$3))/1000</f>
        <v>0</v>
      </c>
      <c r="K12" s="10" t="str">
        <f aca="false">IF(I12&gt;0,RANK(I12,$I$6:$I$36)+COUNTIF($I$6:I12,I12)-1,"")</f>
        <v/>
      </c>
    </row>
    <row r="13" customFormat="false" ht="15" hidden="false" customHeight="false" outlineLevel="0" collapsed="false">
      <c r="A13" s="30" t="n">
        <v>8</v>
      </c>
      <c r="B13" s="30" t="str">
        <f aca="false">IFERROR(INDEX($H$6:$H$36,MATCH(A13,$K$6:$K$36,0)),"")</f>
        <v>Darien Construcciones S.A.</v>
      </c>
      <c r="C13" s="31" t="n">
        <f aca="false">IFERROR(INDEX($I$6:$I$36,MATCH(A13,$K$6:$K$36,0)),"")</f>
        <v>8</v>
      </c>
      <c r="D13" s="32" t="n">
        <f aca="false">IFERROR(INDEX($J$6:$J$36,MATCH(A13,$K$6:$K$36,0)),"")</f>
        <v>175.194</v>
      </c>
      <c r="E13" s="33" t="n">
        <f aca="false">IF(C13="","",C13/$C$18)</f>
        <v>0.064</v>
      </c>
      <c r="H13" s="10" t="s">
        <v>74</v>
      </c>
      <c r="I13" s="22" t="n">
        <f aca="false">IF($B$3="All countries",SUMIFS(Raw_Data!$F$2:$F$307,Raw_Data!$J$2:$J$307,H13,Raw_Data!$O$2:$O$307,"H&amp;H",Raw_Data!$N$2:$N$307,"Yes"),SUMIFS(Raw_Data!$F$2:$F$307,Raw_Data!$J$2:$J$307,H13,Raw_Data!$O$2:$O$307,"H&amp;H",Raw_Data!$N$2:$N$307,"Yes",Raw_Data!$C$2:$C$307,$B$3))</f>
        <v>0</v>
      </c>
      <c r="J13" s="29" t="n">
        <f aca="false">IF($B$3="All countries",SUMIFS(Raw_Data!$P$2:$P$307,Raw_Data!$J$2:$J$307,H13,Raw_Data!$O$2:$O$307,"H&amp;H",Raw_Data!$N$2:$N$307,"Yes"),SUMIFS(Raw_Data!$P$2:$P$307,Raw_Data!$J$2:$J$307,H13,Raw_Data!$O$2:$O$307,"H&amp;H",Raw_Data!$N$2:$N$307,"Yes",Raw_Data!$C$2:$C$307,$B$3))/1000</f>
        <v>0</v>
      </c>
      <c r="K13" s="10" t="str">
        <f aca="false">IF(I13&gt;0,RANK(I13,$I$6:$I$36)+COUNTIF($I$6:I13,I13)-1,"")</f>
        <v/>
      </c>
    </row>
    <row r="14" customFormat="false" ht="15" hidden="false" customHeight="false" outlineLevel="0" collapsed="false">
      <c r="A14" s="27" t="n">
        <v>9</v>
      </c>
      <c r="B14" s="27" t="str">
        <f aca="false">IFERROR(INDEX($H$6:$H$36,MATCH(A14,$K$6:$K$36,0)),"")</f>
        <v>Transcargo Pesados S.A.S.</v>
      </c>
      <c r="C14" s="14" t="n">
        <f aca="false">IFERROR(INDEX($I$6:$I$36,MATCH(A14,$K$6:$K$36,0)),"")</f>
        <v>8</v>
      </c>
      <c r="D14" s="28" t="n">
        <f aca="false">IFERROR(INDEX($J$6:$J$36,MATCH(A14,$K$6:$K$36,0)),"")</f>
        <v>370.327</v>
      </c>
      <c r="E14" s="15" t="n">
        <f aca="false">IF(C14="","",C14/$C$18)</f>
        <v>0.064</v>
      </c>
      <c r="H14" s="10" t="s">
        <v>87</v>
      </c>
      <c r="I14" s="22" t="n">
        <f aca="false">IF($B$3="All countries",SUMIFS(Raw_Data!$F$2:$F$307,Raw_Data!$J$2:$J$307,H14,Raw_Data!$O$2:$O$307,"H&amp;H",Raw_Data!$N$2:$N$307,"Yes"),SUMIFS(Raw_Data!$F$2:$F$307,Raw_Data!$J$2:$J$307,H14,Raw_Data!$O$2:$O$307,"H&amp;H",Raw_Data!$N$2:$N$307,"Yes",Raw_Data!$C$2:$C$307,$B$3))</f>
        <v>6</v>
      </c>
      <c r="J14" s="29" t="n">
        <f aca="false">IF($B$3="All countries",SUMIFS(Raw_Data!$P$2:$P$307,Raw_Data!$J$2:$J$307,H14,Raw_Data!$O$2:$O$307,"H&amp;H",Raw_Data!$N$2:$N$307,"Yes"),SUMIFS(Raw_Data!$P$2:$P$307,Raw_Data!$J$2:$J$307,H14,Raw_Data!$O$2:$O$307,"H&amp;H",Raw_Data!$N$2:$N$307,"Yes",Raw_Data!$C$2:$C$307,$B$3))/1000</f>
        <v>309.217</v>
      </c>
      <c r="K14" s="10" t="n">
        <f aca="false">IF(I14&gt;0,RANK(I14,$I$6:$I$36)+COUNTIF($I$6:I14,I14)-1,"")</f>
        <v>10</v>
      </c>
    </row>
    <row r="15" customFormat="false" ht="15" hidden="false" customHeight="false" outlineLevel="0" collapsed="false">
      <c r="A15" s="30" t="n">
        <v>10</v>
      </c>
      <c r="B15" s="30" t="str">
        <f aca="false">IFERROR(INDEX($H$6:$H$36,MATCH(A15,$K$6:$K$36,0)),"")</f>
        <v>Caribbean Freight Express S.R.L.</v>
      </c>
      <c r="C15" s="31" t="n">
        <f aca="false">IFERROR(INDEX($I$6:$I$36,MATCH(A15,$K$6:$K$36,0)),"")</f>
        <v>6</v>
      </c>
      <c r="D15" s="32" t="n">
        <f aca="false">IFERROR(INDEX($J$6:$J$36,MATCH(A15,$K$6:$K$36,0)),"")</f>
        <v>309.217</v>
      </c>
      <c r="E15" s="33" t="n">
        <f aca="false">IF(C15="","",C15/$C$18)</f>
        <v>0.048</v>
      </c>
      <c r="H15" s="10" t="s">
        <v>76</v>
      </c>
      <c r="I15" s="22" t="n">
        <f aca="false">IF($B$3="All countries",SUMIFS(Raw_Data!$F$2:$F$307,Raw_Data!$J$2:$J$307,H15,Raw_Data!$O$2:$O$307,"H&amp;H",Raw_Data!$N$2:$N$307,"Yes"),SUMIFS(Raw_Data!$F$2:$F$307,Raw_Data!$J$2:$J$307,H15,Raw_Data!$O$2:$O$307,"H&amp;H",Raw_Data!$N$2:$N$307,"Yes",Raw_Data!$C$2:$C$307,$B$3))</f>
        <v>0</v>
      </c>
      <c r="J15" s="29" t="n">
        <f aca="false">IF($B$3="All countries",SUMIFS(Raw_Data!$P$2:$P$307,Raw_Data!$J$2:$J$307,H15,Raw_Data!$O$2:$O$307,"H&amp;H",Raw_Data!$N$2:$N$307,"Yes"),SUMIFS(Raw_Data!$P$2:$P$307,Raw_Data!$J$2:$J$307,H15,Raw_Data!$O$2:$O$307,"H&amp;H",Raw_Data!$N$2:$N$307,"Yes",Raw_Data!$C$2:$C$307,$B$3))/1000</f>
        <v>0</v>
      </c>
      <c r="K15" s="10" t="str">
        <f aca="false">IF(I15&gt;0,RANK(I15,$I$6:$I$36)+COUNTIF($I$6:I15,I15)-1,"")</f>
        <v/>
      </c>
    </row>
    <row r="16" customFormat="false" ht="15" hidden="false" customHeight="false" outlineLevel="0" collapsed="false">
      <c r="B16" s="10" t="s">
        <v>418</v>
      </c>
      <c r="C16" s="22" t="n">
        <f aca="false">SUM(C6:C15)</f>
        <v>101</v>
      </c>
      <c r="E16" s="34" t="n">
        <f aca="false">IF($C$18&gt;0,C16/$C$18,0)</f>
        <v>0.808</v>
      </c>
      <c r="H16" s="10" t="s">
        <v>90</v>
      </c>
      <c r="I16" s="22" t="n">
        <f aca="false">IF($B$3="All countries",SUMIFS(Raw_Data!$F$2:$F$307,Raw_Data!$J$2:$J$307,H16,Raw_Data!$O$2:$O$307,"H&amp;H",Raw_Data!$N$2:$N$307,"Yes"),SUMIFS(Raw_Data!$F$2:$F$307,Raw_Data!$J$2:$J$307,H16,Raw_Data!$O$2:$O$307,"H&amp;H",Raw_Data!$N$2:$N$307,"Yes",Raw_Data!$C$2:$C$307,$B$3))</f>
        <v>10</v>
      </c>
      <c r="J16" s="29" t="n">
        <f aca="false">IF($B$3="All countries",SUMIFS(Raw_Data!$P$2:$P$307,Raw_Data!$J$2:$J$307,H16,Raw_Data!$O$2:$O$307,"H&amp;H",Raw_Data!$N$2:$N$307,"Yes"),SUMIFS(Raw_Data!$P$2:$P$307,Raw_Data!$J$2:$J$307,H16,Raw_Data!$O$2:$O$307,"H&amp;H",Raw_Data!$N$2:$N$307,"Yes",Raw_Data!$C$2:$C$307,$B$3))/1000</f>
        <v>398.389</v>
      </c>
      <c r="K16" s="10" t="n">
        <f aca="false">IF(I16&gt;0,RANK(I16,$I$6:$I$36)+COUNTIF($I$6:I16,I16)-1,"")</f>
        <v>4</v>
      </c>
    </row>
    <row r="17" customFormat="false" ht="15" hidden="false" customHeight="false" outlineLevel="0" collapsed="false">
      <c r="B17" s="10" t="s">
        <v>419</v>
      </c>
      <c r="C17" s="22" t="n">
        <f aca="false">C18-C16</f>
        <v>24</v>
      </c>
      <c r="E17" s="34" t="n">
        <f aca="false">IF($C$18&gt;0,C17/$C$18,0)</f>
        <v>0.192</v>
      </c>
      <c r="H17" s="10" t="s">
        <v>78</v>
      </c>
      <c r="I17" s="22" t="n">
        <f aca="false">IF($B$3="All countries",SUMIFS(Raw_Data!$F$2:$F$307,Raw_Data!$J$2:$J$307,H17,Raw_Data!$O$2:$O$307,"H&amp;H",Raw_Data!$N$2:$N$307,"Yes"),SUMIFS(Raw_Data!$F$2:$F$307,Raw_Data!$J$2:$J$307,H17,Raw_Data!$O$2:$O$307,"H&amp;H",Raw_Data!$N$2:$N$307,"Yes",Raw_Data!$C$2:$C$307,$B$3))</f>
        <v>6</v>
      </c>
      <c r="J17" s="29" t="n">
        <f aca="false">IF($B$3="All countries",SUMIFS(Raw_Data!$P$2:$P$307,Raw_Data!$J$2:$J$307,H17,Raw_Data!$O$2:$O$307,"H&amp;H",Raw_Data!$N$2:$N$307,"Yes"),SUMIFS(Raw_Data!$P$2:$P$307,Raw_Data!$J$2:$J$307,H17,Raw_Data!$O$2:$O$307,"H&amp;H",Raw_Data!$N$2:$N$307,"Yes",Raw_Data!$C$2:$C$307,$B$3))/1000</f>
        <v>308.224</v>
      </c>
      <c r="K17" s="10" t="n">
        <f aca="false">IF(I17&gt;0,RANK(I17,$I$6:$I$36)+COUNTIF($I$6:I17,I17)-1,"")</f>
        <v>11</v>
      </c>
    </row>
    <row r="18" customFormat="false" ht="15" hidden="false" customHeight="false" outlineLevel="0" collapsed="false">
      <c r="B18" s="7" t="s">
        <v>420</v>
      </c>
      <c r="C18" s="35" t="n">
        <f aca="false">SUM(I6:I36)</f>
        <v>125</v>
      </c>
      <c r="E18" s="36" t="n">
        <f aca="false">IF($C$18&gt;0,1,0)</f>
        <v>1</v>
      </c>
      <c r="H18" s="10" t="s">
        <v>80</v>
      </c>
      <c r="I18" s="22" t="n">
        <f aca="false">IF($B$3="All countries",SUMIFS(Raw_Data!$F$2:$F$307,Raw_Data!$J$2:$J$307,H18,Raw_Data!$O$2:$O$307,"H&amp;H",Raw_Data!$N$2:$N$307,"Yes"),SUMIFS(Raw_Data!$F$2:$F$307,Raw_Data!$J$2:$J$307,H18,Raw_Data!$O$2:$O$307,"H&amp;H",Raw_Data!$N$2:$N$307,"Yes",Raw_Data!$C$2:$C$307,$B$3))</f>
        <v>9</v>
      </c>
      <c r="J18" s="29" t="n">
        <f aca="false">IF($B$3="All countries",SUMIFS(Raw_Data!$P$2:$P$307,Raw_Data!$J$2:$J$307,H18,Raw_Data!$O$2:$O$307,"H&amp;H",Raw_Data!$N$2:$N$307,"Yes"),SUMIFS(Raw_Data!$P$2:$P$307,Raw_Data!$J$2:$J$307,H18,Raw_Data!$O$2:$O$307,"H&amp;H",Raw_Data!$N$2:$N$307,"Yes",Raw_Data!$C$2:$C$307,$B$3))/1000</f>
        <v>245.89</v>
      </c>
      <c r="K18" s="10" t="n">
        <f aca="false">IF(I18&gt;0,RANK(I18,$I$6:$I$36)+COUNTIF($I$6:I18,I18)-1,"")</f>
        <v>5</v>
      </c>
    </row>
    <row r="19" customFormat="false" ht="15" hidden="false" customHeight="false" outlineLevel="0" collapsed="false">
      <c r="B19" s="10" t="s">
        <v>421</v>
      </c>
      <c r="C19" s="22" t="n">
        <f aca="false">COUNTIF(I6:I36,"&gt;0")</f>
        <v>17</v>
      </c>
      <c r="E19" s="34"/>
      <c r="H19" s="10" t="s">
        <v>82</v>
      </c>
      <c r="I19" s="22" t="n">
        <f aca="false">IF($B$3="All countries",SUMIFS(Raw_Data!$F$2:$F$307,Raw_Data!$J$2:$J$307,H19,Raw_Data!$O$2:$O$307,"H&amp;H",Raw_Data!$N$2:$N$307,"Yes"),SUMIFS(Raw_Data!$F$2:$F$307,Raw_Data!$J$2:$J$307,H19,Raw_Data!$O$2:$O$307,"H&amp;H",Raw_Data!$N$2:$N$307,"Yes",Raw_Data!$C$2:$C$307,$B$3))</f>
        <v>1</v>
      </c>
      <c r="J19" s="29" t="n">
        <f aca="false">IF($B$3="All countries",SUMIFS(Raw_Data!$P$2:$P$307,Raw_Data!$J$2:$J$307,H19,Raw_Data!$O$2:$O$307,"H&amp;H",Raw_Data!$N$2:$N$307,"Yes"),SUMIFS(Raw_Data!$P$2:$P$307,Raw_Data!$J$2:$J$307,H19,Raw_Data!$O$2:$O$307,"H&amp;H",Raw_Data!$N$2:$N$307,"Yes",Raw_Data!$C$2:$C$307,$B$3))/1000</f>
        <v>19.307</v>
      </c>
      <c r="K19" s="10" t="n">
        <f aca="false">IF(I19&gt;0,RANK(I19,$I$6:$I$36)+COUNTIF($I$6:I19,I19)-1,"")</f>
        <v>17</v>
      </c>
    </row>
    <row r="20" customFormat="false" ht="15" hidden="false" customHeight="false" outlineLevel="0" collapsed="false">
      <c r="H20" s="10" t="s">
        <v>84</v>
      </c>
      <c r="I20" s="22" t="n">
        <f aca="false">IF($B$3="All countries",SUMIFS(Raw_Data!$F$2:$F$307,Raw_Data!$J$2:$J$307,H20,Raw_Data!$O$2:$O$307,"H&amp;H",Raw_Data!$N$2:$N$307,"Yes"),SUMIFS(Raw_Data!$F$2:$F$307,Raw_Data!$J$2:$J$307,H20,Raw_Data!$O$2:$O$307,"H&amp;H",Raw_Data!$N$2:$N$307,"Yes",Raw_Data!$C$2:$C$307,$B$3))</f>
        <v>0</v>
      </c>
      <c r="J20" s="29" t="n">
        <f aca="false">IF($B$3="All countries",SUMIFS(Raw_Data!$P$2:$P$307,Raw_Data!$J$2:$J$307,H20,Raw_Data!$O$2:$O$307,"H&amp;H",Raw_Data!$N$2:$N$307,"Yes"),SUMIFS(Raw_Data!$P$2:$P$307,Raw_Data!$J$2:$J$307,H20,Raw_Data!$O$2:$O$307,"H&amp;H",Raw_Data!$N$2:$N$307,"Yes",Raw_Data!$C$2:$C$307,$B$3))/1000</f>
        <v>0</v>
      </c>
      <c r="K20" s="10" t="str">
        <f aca="false">IF(I20&gt;0,RANK(I20,$I$6:$I$36)+COUNTIF($I$6:I20,I20)-1,"")</f>
        <v/>
      </c>
    </row>
    <row r="21" customFormat="false" ht="15" hidden="false" customHeight="false" outlineLevel="0" collapsed="false">
      <c r="H21" s="10" t="s">
        <v>97</v>
      </c>
      <c r="I21" s="22" t="n">
        <f aca="false">IF($B$3="All countries",SUMIFS(Raw_Data!$F$2:$F$307,Raw_Data!$J$2:$J$307,H21,Raw_Data!$O$2:$O$307,"H&amp;H",Raw_Data!$N$2:$N$307,"Yes"),SUMIFS(Raw_Data!$F$2:$F$307,Raw_Data!$J$2:$J$307,H21,Raw_Data!$O$2:$O$307,"H&amp;H",Raw_Data!$N$2:$N$307,"Yes",Raw_Data!$C$2:$C$307,$B$3))</f>
        <v>8</v>
      </c>
      <c r="J21" s="29" t="n">
        <f aca="false">IF($B$3="All countries",SUMIFS(Raw_Data!$P$2:$P$307,Raw_Data!$J$2:$J$307,H21,Raw_Data!$O$2:$O$307,"H&amp;H",Raw_Data!$N$2:$N$307,"Yes"),SUMIFS(Raw_Data!$P$2:$P$307,Raw_Data!$J$2:$J$307,H21,Raw_Data!$O$2:$O$307,"H&amp;H",Raw_Data!$N$2:$N$307,"Yes",Raw_Data!$C$2:$C$307,$B$3))/1000</f>
        <v>175.194</v>
      </c>
      <c r="K21" s="10" t="n">
        <f aca="false">IF(I21&gt;0,RANK(I21,$I$6:$I$36)+COUNTIF($I$6:I21,I21)-1,"")</f>
        <v>8</v>
      </c>
    </row>
    <row r="22" customFormat="false" ht="15" hidden="false" customHeight="false" outlineLevel="0" collapsed="false">
      <c r="H22" s="10" t="s">
        <v>99</v>
      </c>
      <c r="I22" s="22" t="n">
        <f aca="false">IF($B$3="All countries",SUMIFS(Raw_Data!$F$2:$F$307,Raw_Data!$J$2:$J$307,H22,Raw_Data!$O$2:$O$307,"H&amp;H",Raw_Data!$N$2:$N$307,"Yes"),SUMIFS(Raw_Data!$F$2:$F$307,Raw_Data!$J$2:$J$307,H22,Raw_Data!$O$2:$O$307,"H&amp;H",Raw_Data!$N$2:$N$307,"Yes",Raw_Data!$C$2:$C$307,$B$3))</f>
        <v>0</v>
      </c>
      <c r="J22" s="29" t="n">
        <f aca="false">IF($B$3="All countries",SUMIFS(Raw_Data!$P$2:$P$307,Raw_Data!$J$2:$J$307,H22,Raw_Data!$O$2:$O$307,"H&amp;H",Raw_Data!$N$2:$N$307,"Yes"),SUMIFS(Raw_Data!$P$2:$P$307,Raw_Data!$J$2:$J$307,H22,Raw_Data!$O$2:$O$307,"H&amp;H",Raw_Data!$N$2:$N$307,"Yes",Raw_Data!$C$2:$C$307,$B$3))/1000</f>
        <v>0</v>
      </c>
      <c r="K22" s="10" t="str">
        <f aca="false">IF(I22&gt;0,RANK(I22,$I$6:$I$36)+COUNTIF($I$6:I22,I22)-1,"")</f>
        <v/>
      </c>
    </row>
    <row r="23" customFormat="false" ht="15" hidden="false" customHeight="false" outlineLevel="0" collapsed="false">
      <c r="H23" s="10" t="s">
        <v>101</v>
      </c>
      <c r="I23" s="22" t="n">
        <f aca="false">IF($B$3="All countries",SUMIFS(Raw_Data!$F$2:$F$307,Raw_Data!$J$2:$J$307,H23,Raw_Data!$O$2:$O$307,"H&amp;H",Raw_Data!$N$2:$N$307,"Yes"),SUMIFS(Raw_Data!$F$2:$F$307,Raw_Data!$J$2:$J$307,H23,Raw_Data!$O$2:$O$307,"H&amp;H",Raw_Data!$N$2:$N$307,"Yes",Raw_Data!$C$2:$C$307,$B$3))</f>
        <v>18</v>
      </c>
      <c r="J23" s="29" t="n">
        <f aca="false">IF($B$3="All countries",SUMIFS(Raw_Data!$P$2:$P$307,Raw_Data!$J$2:$J$307,H23,Raw_Data!$O$2:$O$307,"H&amp;H",Raw_Data!$N$2:$N$307,"Yes"),SUMIFS(Raw_Data!$P$2:$P$307,Raw_Data!$J$2:$J$307,H23,Raw_Data!$O$2:$O$307,"H&amp;H",Raw_Data!$N$2:$N$307,"Yes",Raw_Data!$C$2:$C$307,$B$3))/1000</f>
        <v>614.316</v>
      </c>
      <c r="K23" s="10" t="n">
        <f aca="false">IF(I23&gt;0,RANK(I23,$I$6:$I$36)+COUNTIF($I$6:I23,I23)-1,"")</f>
        <v>1</v>
      </c>
    </row>
    <row r="24" customFormat="false" ht="15" hidden="false" customHeight="false" outlineLevel="0" collapsed="false">
      <c r="H24" s="10" t="s">
        <v>107</v>
      </c>
      <c r="I24" s="22" t="n">
        <f aca="false">IF($B$3="All countries",SUMIFS(Raw_Data!$F$2:$F$307,Raw_Data!$J$2:$J$307,H24,Raw_Data!$O$2:$O$307,"H&amp;H",Raw_Data!$N$2:$N$307,"Yes"),SUMIFS(Raw_Data!$F$2:$F$307,Raw_Data!$J$2:$J$307,H24,Raw_Data!$O$2:$O$307,"H&amp;H",Raw_Data!$N$2:$N$307,"Yes",Raw_Data!$C$2:$C$307,$B$3))</f>
        <v>0</v>
      </c>
      <c r="J24" s="29" t="n">
        <f aca="false">IF($B$3="All countries",SUMIFS(Raw_Data!$P$2:$P$307,Raw_Data!$J$2:$J$307,H24,Raw_Data!$O$2:$O$307,"H&amp;H",Raw_Data!$N$2:$N$307,"Yes"),SUMIFS(Raw_Data!$P$2:$P$307,Raw_Data!$J$2:$J$307,H24,Raw_Data!$O$2:$O$307,"H&amp;H",Raw_Data!$N$2:$N$307,"Yes",Raw_Data!$C$2:$C$307,$B$3))/1000</f>
        <v>0</v>
      </c>
      <c r="K24" s="10" t="str">
        <f aca="false">IF(I24&gt;0,RANK(I24,$I$6:$I$36)+COUNTIF($I$6:I24,I24)-1,"")</f>
        <v/>
      </c>
    </row>
    <row r="25" customFormat="false" ht="15" hidden="false" customHeight="false" outlineLevel="0" collapsed="false">
      <c r="H25" s="10" t="s">
        <v>111</v>
      </c>
      <c r="I25" s="22" t="n">
        <f aca="false">IF($B$3="All countries",SUMIFS(Raw_Data!$F$2:$F$307,Raw_Data!$J$2:$J$307,H25,Raw_Data!$O$2:$O$307,"H&amp;H",Raw_Data!$N$2:$N$307,"Yes"),SUMIFS(Raw_Data!$F$2:$F$307,Raw_Data!$J$2:$J$307,H25,Raw_Data!$O$2:$O$307,"H&amp;H",Raw_Data!$N$2:$N$307,"Yes",Raw_Data!$C$2:$C$307,$B$3))</f>
        <v>0</v>
      </c>
      <c r="J25" s="29" t="n">
        <f aca="false">IF($B$3="All countries",SUMIFS(Raw_Data!$P$2:$P$307,Raw_Data!$J$2:$J$307,H25,Raw_Data!$O$2:$O$307,"H&amp;H",Raw_Data!$N$2:$N$307,"Yes"),SUMIFS(Raw_Data!$P$2:$P$307,Raw_Data!$J$2:$J$307,H25,Raw_Data!$O$2:$O$307,"H&amp;H",Raw_Data!$N$2:$N$307,"Yes",Raw_Data!$C$2:$C$307,$B$3))/1000</f>
        <v>0</v>
      </c>
      <c r="K25" s="10" t="str">
        <f aca="false">IF(I25&gt;0,RANK(I25,$I$6:$I$36)+COUNTIF($I$6:I25,I25)-1,"")</f>
        <v/>
      </c>
    </row>
    <row r="26" customFormat="false" ht="15" hidden="false" customHeight="false" outlineLevel="0" collapsed="false">
      <c r="H26" s="10" t="s">
        <v>113</v>
      </c>
      <c r="I26" s="22" t="n">
        <f aca="false">IF($B$3="All countries",SUMIFS(Raw_Data!$F$2:$F$307,Raw_Data!$J$2:$J$307,H26,Raw_Data!$O$2:$O$307,"H&amp;H",Raw_Data!$N$2:$N$307,"Yes"),SUMIFS(Raw_Data!$F$2:$F$307,Raw_Data!$J$2:$J$307,H26,Raw_Data!$O$2:$O$307,"H&amp;H",Raw_Data!$N$2:$N$307,"Yes",Raw_Data!$C$2:$C$307,$B$3))</f>
        <v>0</v>
      </c>
      <c r="J26" s="29" t="n">
        <f aca="false">IF($B$3="All countries",SUMIFS(Raw_Data!$P$2:$P$307,Raw_Data!$J$2:$J$307,H26,Raw_Data!$O$2:$O$307,"H&amp;H",Raw_Data!$N$2:$N$307,"Yes"),SUMIFS(Raw_Data!$P$2:$P$307,Raw_Data!$J$2:$J$307,H26,Raw_Data!$O$2:$O$307,"H&amp;H",Raw_Data!$N$2:$N$307,"Yes",Raw_Data!$C$2:$C$307,$B$3))/1000</f>
        <v>0</v>
      </c>
      <c r="K26" s="10" t="str">
        <f aca="false">IF(I26&gt;0,RANK(I26,$I$6:$I$36)+COUNTIF($I$6:I26,I26)-1,"")</f>
        <v/>
      </c>
    </row>
    <row r="27" customFormat="false" ht="15" hidden="false" customHeight="false" outlineLevel="0" collapsed="false">
      <c r="H27" s="10" t="s">
        <v>119</v>
      </c>
      <c r="I27" s="22" t="n">
        <f aca="false">IF($B$3="All countries",SUMIFS(Raw_Data!$F$2:$F$307,Raw_Data!$J$2:$J$307,H27,Raw_Data!$O$2:$O$307,"H&amp;H",Raw_Data!$N$2:$N$307,"Yes"),SUMIFS(Raw_Data!$F$2:$F$307,Raw_Data!$J$2:$J$307,H27,Raw_Data!$O$2:$O$307,"H&amp;H",Raw_Data!$N$2:$N$307,"Yes",Raw_Data!$C$2:$C$307,$B$3))</f>
        <v>0</v>
      </c>
      <c r="J27" s="29" t="n">
        <f aca="false">IF($B$3="All countries",SUMIFS(Raw_Data!$P$2:$P$307,Raw_Data!$J$2:$J$307,H27,Raw_Data!$O$2:$O$307,"H&amp;H",Raw_Data!$N$2:$N$307,"Yes"),SUMIFS(Raw_Data!$P$2:$P$307,Raw_Data!$J$2:$J$307,H27,Raw_Data!$O$2:$O$307,"H&amp;H",Raw_Data!$N$2:$N$307,"Yes",Raw_Data!$C$2:$C$307,$B$3))/1000</f>
        <v>0</v>
      </c>
      <c r="K27" s="10" t="str">
        <f aca="false">IF(I27&gt;0,RANK(I27,$I$6:$I$36)+COUNTIF($I$6:I27,I27)-1,"")</f>
        <v/>
      </c>
    </row>
    <row r="28" customFormat="false" ht="15" hidden="false" customHeight="false" outlineLevel="0" collapsed="false">
      <c r="H28" s="10" t="s">
        <v>121</v>
      </c>
      <c r="I28" s="22" t="n">
        <f aca="false">IF($B$3="All countries",SUMIFS(Raw_Data!$F$2:$F$307,Raw_Data!$J$2:$J$307,H28,Raw_Data!$O$2:$O$307,"H&amp;H",Raw_Data!$N$2:$N$307,"Yes"),SUMIFS(Raw_Data!$F$2:$F$307,Raw_Data!$J$2:$J$307,H28,Raw_Data!$O$2:$O$307,"H&amp;H",Raw_Data!$N$2:$N$307,"Yes",Raw_Data!$C$2:$C$307,$B$3))</f>
        <v>3</v>
      </c>
      <c r="J28" s="29" t="n">
        <f aca="false">IF($B$3="All countries",SUMIFS(Raw_Data!$P$2:$P$307,Raw_Data!$J$2:$J$307,H28,Raw_Data!$O$2:$O$307,"H&amp;H",Raw_Data!$N$2:$N$307,"Yes"),SUMIFS(Raw_Data!$P$2:$P$307,Raw_Data!$J$2:$J$307,H28,Raw_Data!$O$2:$O$307,"H&amp;H",Raw_Data!$N$2:$N$307,"Yes",Raw_Data!$C$2:$C$307,$B$3))/1000</f>
        <v>71.387</v>
      </c>
      <c r="K28" s="10" t="n">
        <f aca="false">IF(I28&gt;0,RANK(I28,$I$6:$I$36)+COUNTIF($I$6:I28,I28)-1,"")</f>
        <v>13</v>
      </c>
    </row>
    <row r="29" customFormat="false" ht="15" hidden="false" customHeight="false" outlineLevel="0" collapsed="false">
      <c r="H29" s="10" t="s">
        <v>126</v>
      </c>
      <c r="I29" s="22" t="n">
        <f aca="false">IF($B$3="All countries",SUMIFS(Raw_Data!$F$2:$F$307,Raw_Data!$J$2:$J$307,H29,Raw_Data!$O$2:$O$307,"H&amp;H",Raw_Data!$N$2:$N$307,"Yes"),SUMIFS(Raw_Data!$F$2:$F$307,Raw_Data!$J$2:$J$307,H29,Raw_Data!$O$2:$O$307,"H&amp;H",Raw_Data!$N$2:$N$307,"Yes",Raw_Data!$C$2:$C$307,$B$3))</f>
        <v>3</v>
      </c>
      <c r="J29" s="29" t="n">
        <f aca="false">IF($B$3="All countries",SUMIFS(Raw_Data!$P$2:$P$307,Raw_Data!$J$2:$J$307,H29,Raw_Data!$O$2:$O$307,"H&amp;H",Raw_Data!$N$2:$N$307,"Yes"),SUMIFS(Raw_Data!$P$2:$P$307,Raw_Data!$J$2:$J$307,H29,Raw_Data!$O$2:$O$307,"H&amp;H",Raw_Data!$N$2:$N$307,"Yes",Raw_Data!$C$2:$C$307,$B$3))/1000</f>
        <v>147.091</v>
      </c>
      <c r="K29" s="10" t="n">
        <f aca="false">IF(I29&gt;0,RANK(I29,$I$6:$I$36)+COUNTIF($I$6:I29,I29)-1,"")</f>
        <v>14</v>
      </c>
    </row>
    <row r="30" customFormat="false" ht="15" hidden="false" customHeight="false" outlineLevel="0" collapsed="false">
      <c r="H30" s="10" t="s">
        <v>129</v>
      </c>
      <c r="I30" s="22" t="n">
        <f aca="false">IF($B$3="All countries",SUMIFS(Raw_Data!$F$2:$F$307,Raw_Data!$J$2:$J$307,H30,Raw_Data!$O$2:$O$307,"H&amp;H",Raw_Data!$N$2:$N$307,"Yes"),SUMIFS(Raw_Data!$F$2:$F$307,Raw_Data!$J$2:$J$307,H30,Raw_Data!$O$2:$O$307,"H&amp;H",Raw_Data!$N$2:$N$307,"Yes",Raw_Data!$C$2:$C$307,$B$3))</f>
        <v>3</v>
      </c>
      <c r="J30" s="29" t="n">
        <f aca="false">IF($B$3="All countries",SUMIFS(Raw_Data!$P$2:$P$307,Raw_Data!$J$2:$J$307,H30,Raw_Data!$O$2:$O$307,"H&amp;H",Raw_Data!$N$2:$N$307,"Yes"),SUMIFS(Raw_Data!$P$2:$P$307,Raw_Data!$J$2:$J$307,H30,Raw_Data!$O$2:$O$307,"H&amp;H",Raw_Data!$N$2:$N$307,"Yes",Raw_Data!$C$2:$C$307,$B$3))/1000</f>
        <v>113.153</v>
      </c>
      <c r="K30" s="10" t="n">
        <f aca="false">IF(I30&gt;0,RANK(I30,$I$6:$I$36)+COUNTIF($I$6:I30,I30)-1,"")</f>
        <v>15</v>
      </c>
    </row>
    <row r="31" customFormat="false" ht="15" hidden="false" customHeight="false" outlineLevel="0" collapsed="false">
      <c r="H31" s="10" t="s">
        <v>133</v>
      </c>
      <c r="I31" s="22" t="n">
        <f aca="false">IF($B$3="All countries",SUMIFS(Raw_Data!$F$2:$F$307,Raw_Data!$J$2:$J$307,H31,Raw_Data!$O$2:$O$307,"H&amp;H",Raw_Data!$N$2:$N$307,"Yes"),SUMIFS(Raw_Data!$F$2:$F$307,Raw_Data!$J$2:$J$307,H31,Raw_Data!$O$2:$O$307,"H&amp;H",Raw_Data!$N$2:$N$307,"Yes",Raw_Data!$C$2:$C$307,$B$3))</f>
        <v>6</v>
      </c>
      <c r="J31" s="29" t="n">
        <f aca="false">IF($B$3="All countries",SUMIFS(Raw_Data!$P$2:$P$307,Raw_Data!$J$2:$J$307,H31,Raw_Data!$O$2:$O$307,"H&amp;H",Raw_Data!$N$2:$N$307,"Yes"),SUMIFS(Raw_Data!$P$2:$P$307,Raw_Data!$J$2:$J$307,H31,Raw_Data!$O$2:$O$307,"H&amp;H",Raw_Data!$N$2:$N$307,"Yes",Raw_Data!$C$2:$C$307,$B$3))/1000</f>
        <v>271.61</v>
      </c>
      <c r="K31" s="10" t="n">
        <f aca="false">IF(I31&gt;0,RANK(I31,$I$6:$I$36)+COUNTIF($I$6:I31,I31)-1,"")</f>
        <v>12</v>
      </c>
    </row>
    <row r="32" customFormat="false" ht="15" hidden="false" customHeight="false" outlineLevel="0" collapsed="false">
      <c r="H32" s="10" t="s">
        <v>131</v>
      </c>
      <c r="I32" s="22" t="n">
        <f aca="false">IF($B$3="All countries",SUMIFS(Raw_Data!$F$2:$F$307,Raw_Data!$J$2:$J$307,H32,Raw_Data!$O$2:$O$307,"H&amp;H",Raw_Data!$N$2:$N$307,"Yes"),SUMIFS(Raw_Data!$F$2:$F$307,Raw_Data!$J$2:$J$307,H32,Raw_Data!$O$2:$O$307,"H&amp;H",Raw_Data!$N$2:$N$307,"Yes",Raw_Data!$C$2:$C$307,$B$3))</f>
        <v>0</v>
      </c>
      <c r="J32" s="29" t="n">
        <f aca="false">IF($B$3="All countries",SUMIFS(Raw_Data!$P$2:$P$307,Raw_Data!$J$2:$J$307,H32,Raw_Data!$O$2:$O$307,"H&amp;H",Raw_Data!$N$2:$N$307,"Yes"),SUMIFS(Raw_Data!$P$2:$P$307,Raw_Data!$J$2:$J$307,H32,Raw_Data!$O$2:$O$307,"H&amp;H",Raw_Data!$N$2:$N$307,"Yes",Raw_Data!$C$2:$C$307,$B$3))/1000</f>
        <v>0</v>
      </c>
      <c r="K32" s="10" t="str">
        <f aca="false">IF(I32&gt;0,RANK(I32,$I$6:$I$36)+COUNTIF($I$6:I32,I32)-1,"")</f>
        <v/>
      </c>
    </row>
    <row r="33" customFormat="false" ht="15" hidden="false" customHeight="false" outlineLevel="0" collapsed="false">
      <c r="H33" s="10" t="s">
        <v>135</v>
      </c>
      <c r="I33" s="22" t="n">
        <f aca="false">IF($B$3="All countries",SUMIFS(Raw_Data!$F$2:$F$307,Raw_Data!$J$2:$J$307,H33,Raw_Data!$O$2:$O$307,"H&amp;H",Raw_Data!$N$2:$N$307,"Yes"),SUMIFS(Raw_Data!$F$2:$F$307,Raw_Data!$J$2:$J$307,H33,Raw_Data!$O$2:$O$307,"H&amp;H",Raw_Data!$N$2:$N$307,"Yes",Raw_Data!$C$2:$C$307,$B$3))</f>
        <v>2</v>
      </c>
      <c r="J33" s="29" t="n">
        <f aca="false">IF($B$3="All countries",SUMIFS(Raw_Data!$P$2:$P$307,Raw_Data!$J$2:$J$307,H33,Raw_Data!$O$2:$O$307,"H&amp;H",Raw_Data!$N$2:$N$307,"Yes"),SUMIFS(Raw_Data!$P$2:$P$307,Raw_Data!$J$2:$J$307,H33,Raw_Data!$O$2:$O$307,"H&amp;H",Raw_Data!$N$2:$N$307,"Yes",Raw_Data!$C$2:$C$307,$B$3))/1000</f>
        <v>42.152</v>
      </c>
      <c r="K33" s="10" t="n">
        <f aca="false">IF(I33&gt;0,RANK(I33,$I$6:$I$36)+COUNTIF($I$6:I33,I33)-1,"")</f>
        <v>16</v>
      </c>
    </row>
    <row r="34" customFormat="false" ht="15" hidden="false" customHeight="false" outlineLevel="0" collapsed="false">
      <c r="H34" s="10" t="s">
        <v>138</v>
      </c>
      <c r="I34" s="22" t="n">
        <f aca="false">IF($B$3="All countries",SUMIFS(Raw_Data!$F$2:$F$307,Raw_Data!$J$2:$J$307,H34,Raw_Data!$O$2:$O$307,"H&amp;H",Raw_Data!$N$2:$N$307,"Yes"),SUMIFS(Raw_Data!$F$2:$F$307,Raw_Data!$J$2:$J$307,H34,Raw_Data!$O$2:$O$307,"H&amp;H",Raw_Data!$N$2:$N$307,"Yes",Raw_Data!$C$2:$C$307,$B$3))</f>
        <v>0</v>
      </c>
      <c r="J34" s="29" t="n">
        <f aca="false">IF($B$3="All countries",SUMIFS(Raw_Data!$P$2:$P$307,Raw_Data!$J$2:$J$307,H34,Raw_Data!$O$2:$O$307,"H&amp;H",Raw_Data!$N$2:$N$307,"Yes"),SUMIFS(Raw_Data!$P$2:$P$307,Raw_Data!$J$2:$J$307,H34,Raw_Data!$O$2:$O$307,"H&amp;H",Raw_Data!$N$2:$N$307,"Yes",Raw_Data!$C$2:$C$307,$B$3))/1000</f>
        <v>0</v>
      </c>
      <c r="K34" s="10" t="str">
        <f aca="false">IF(I34&gt;0,RANK(I34,$I$6:$I$36)+COUNTIF($I$6:I34,I34)-1,"")</f>
        <v/>
      </c>
    </row>
    <row r="35" customFormat="false" ht="15" hidden="false" customHeight="false" outlineLevel="0" collapsed="false">
      <c r="H35" s="10" t="s">
        <v>142</v>
      </c>
      <c r="I35" s="22" t="n">
        <f aca="false">IF($B$3="All countries",SUMIFS(Raw_Data!$F$2:$F$307,Raw_Data!$J$2:$J$307,H35,Raw_Data!$O$2:$O$307,"H&amp;H",Raw_Data!$N$2:$N$307,"Yes"),SUMIFS(Raw_Data!$F$2:$F$307,Raw_Data!$J$2:$J$307,H35,Raw_Data!$O$2:$O$307,"H&amp;H",Raw_Data!$N$2:$N$307,"Yes",Raw_Data!$C$2:$C$307,$B$3))</f>
        <v>0</v>
      </c>
      <c r="J35" s="29" t="n">
        <f aca="false">IF($B$3="All countries",SUMIFS(Raw_Data!$P$2:$P$307,Raw_Data!$J$2:$J$307,H35,Raw_Data!$O$2:$O$307,"H&amp;H",Raw_Data!$N$2:$N$307,"Yes"),SUMIFS(Raw_Data!$P$2:$P$307,Raw_Data!$J$2:$J$307,H35,Raw_Data!$O$2:$O$307,"H&amp;H",Raw_Data!$N$2:$N$307,"Yes",Raw_Data!$C$2:$C$307,$B$3))/1000</f>
        <v>0</v>
      </c>
      <c r="K35" s="10" t="str">
        <f aca="false">IF(I35&gt;0,RANK(I35,$I$6:$I$36)+COUNTIF($I$6:I35,I35)-1,"")</f>
        <v/>
      </c>
    </row>
    <row r="36" customFormat="false" ht="15" hidden="false" customHeight="false" outlineLevel="0" collapsed="false">
      <c r="H36" s="10" t="s">
        <v>146</v>
      </c>
      <c r="I36" s="22" t="n">
        <f aca="false">IF($B$3="All countries",SUMIFS(Raw_Data!$F$2:$F$307,Raw_Data!$J$2:$J$307,H36,Raw_Data!$O$2:$O$307,"H&amp;H",Raw_Data!$N$2:$N$307,"Yes"),SUMIFS(Raw_Data!$F$2:$F$307,Raw_Data!$J$2:$J$307,H36,Raw_Data!$O$2:$O$307,"H&amp;H",Raw_Data!$N$2:$N$307,"Yes",Raw_Data!$C$2:$C$307,$B$3))</f>
        <v>8</v>
      </c>
      <c r="J36" s="29" t="n">
        <f aca="false">IF($B$3="All countries",SUMIFS(Raw_Data!$P$2:$P$307,Raw_Data!$J$2:$J$307,H36,Raw_Data!$O$2:$O$307,"H&amp;H",Raw_Data!$N$2:$N$307,"Yes"),SUMIFS(Raw_Data!$P$2:$P$307,Raw_Data!$J$2:$J$307,H36,Raw_Data!$O$2:$O$307,"H&amp;H",Raw_Data!$N$2:$N$307,"Yes",Raw_Data!$C$2:$C$307,$B$3))/1000</f>
        <v>370.327</v>
      </c>
      <c r="K36" s="10" t="n">
        <f aca="false">IF(I36&gt;0,RANK(I36,$I$6:$I$36)+COUNTIF($I$6:I36,I36)-1,"")</f>
        <v>9</v>
      </c>
    </row>
  </sheetData>
  <dataValidations count="1">
    <dataValidation allowBlank="false" errorStyle="stop" operator="between" showDropDown="false" showErrorMessage="false" showInputMessage="false" sqref="B3" type="list">
      <formula1>"All countries,Chile,Colombia,Peru,Ecuador,Dominican Republic,Panama"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2026-10-07T14:51:40Z</dcterms:created>
  <dc:creator>openpyxl</dc:creator>
  <dc:description/>
  <dc:language>en-US</dc:language>
  <cp:lastModifiedBy/>
  <dcterms:modified xsi:type="dcterms:W3CDTF">2026-10-07T11:51:43Z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